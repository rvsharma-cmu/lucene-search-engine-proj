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s/11642/QryEval/Experiments/HW3/"/>
    </mc:Choice>
  </mc:AlternateContent>
  <xr:revisionPtr revIDLastSave="0" documentId="13_ncr:1_{937383C7-353A-2F40-B2A9-E1D3205D15D6}" xr6:coauthVersionLast="41" xr6:coauthVersionMax="41" xr10:uidLastSave="{00000000-0000-0000-0000-000000000000}"/>
  <bookViews>
    <workbookView xWindow="0" yWindow="0" windowWidth="28800" windowHeight="18000" activeTab="1" xr2:uid="{B4DAC8C1-86A6-804F-BF86-E964714ED000}"/>
  </bookViews>
  <sheets>
    <sheet name="Exp1" sheetId="6" r:id="rId1"/>
    <sheet name="Exp2" sheetId="1" r:id="rId2"/>
    <sheet name="Exp3" sheetId="2" r:id="rId3"/>
    <sheet name="Exp4" sheetId="3" r:id="rId4"/>
    <sheet name="Exp5" sheetId="4" r:id="rId5"/>
    <sheet name="Sheet2" sheetId="5" r:id="rId6"/>
    <sheet name="fbTerms10" sheetId="7" r:id="rId7"/>
    <sheet name="fbTerms20" sheetId="8" r:id="rId8"/>
    <sheet name="fbTerms30" sheetId="9" r:id="rId9"/>
  </sheets>
  <definedNames>
    <definedName name="_xlnm._FilterDatabase" localSheetId="1" hidden="1">'Exp2'!$O$7:$AK$27</definedName>
    <definedName name="_xlnm._FilterDatabase" localSheetId="2" hidden="1">'Exp3'!$P$10:$AN$30</definedName>
    <definedName name="_xlnm._FilterDatabase" localSheetId="3" hidden="1">'Exp4'!$Q$16:$AJ$36</definedName>
    <definedName name="_xlnm._FilterDatabase" localSheetId="6" hidden="1">fbTerms10!$A$4:$Q$26</definedName>
    <definedName name="_xlnm._FilterDatabase" localSheetId="7" hidden="1">fbTerms20!$A$5:$N$27</definedName>
    <definedName name="_xlnm._FilterDatabase" localSheetId="8" hidden="1">fbTerms30!$A$5:$M$27</definedName>
    <definedName name="_xlnm._FilterDatabase" localSheetId="5" hidden="1">Sheet2!$A$4:$N$26</definedName>
    <definedName name="_xlchart.v2.0" hidden="1">'Exp5'!$W$19:$AA$19</definedName>
    <definedName name="_xlchart.v2.1" hidden="1">'Exp5'!$W$20:$AA$20</definedName>
    <definedName name="_xlchart.v2.2" hidden="1">'Exp5'!$W$21:$AA$21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2" i="4" l="1"/>
  <c r="AG22" i="4"/>
  <c r="AH22" i="4"/>
  <c r="AI22" i="4"/>
  <c r="AE22" i="4"/>
  <c r="AF21" i="4"/>
  <c r="AG21" i="4"/>
  <c r="AH21" i="4"/>
  <c r="AI21" i="4"/>
  <c r="AE21" i="4"/>
  <c r="AF20" i="4"/>
  <c r="AG20" i="4"/>
  <c r="AH20" i="4"/>
  <c r="AI20" i="4"/>
  <c r="AE20" i="4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5" i="7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6" i="9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6" i="8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5" i="7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17" i="3"/>
  <c r="O18" i="3"/>
  <c r="O19" i="3"/>
  <c r="O20" i="3"/>
  <c r="O21" i="3"/>
  <c r="O22" i="3"/>
  <c r="O23" i="3"/>
  <c r="O24" i="3"/>
  <c r="O25" i="3"/>
  <c r="O27" i="3"/>
  <c r="O28" i="3"/>
  <c r="O29" i="3"/>
  <c r="O30" i="3"/>
  <c r="O31" i="3"/>
  <c r="O32" i="3"/>
  <c r="O33" i="3"/>
  <c r="O34" i="3"/>
  <c r="O35" i="3"/>
  <c r="O36" i="3"/>
  <c r="O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17" i="3"/>
  <c r="L3" i="2"/>
  <c r="L2" i="2"/>
  <c r="K4" i="2"/>
  <c r="K3" i="2"/>
  <c r="K2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11" i="2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8" i="1"/>
  <c r="F8" i="5"/>
  <c r="H8" i="5"/>
  <c r="K8" i="5"/>
  <c r="K6" i="5"/>
  <c r="K7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5" i="5"/>
  <c r="H6" i="5"/>
  <c r="H7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5" i="5"/>
  <c r="F6" i="5"/>
  <c r="F7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5" i="5"/>
</calcChain>
</file>

<file path=xl/sharedStrings.xml><?xml version="1.0" encoding="utf-8"?>
<sst xmlns="http://schemas.openxmlformats.org/spreadsheetml/2006/main" count="193" uniqueCount="48">
  <si>
    <t>fbDocs</t>
  </si>
  <si>
    <t>P@10</t>
  </si>
  <si>
    <t>P@20</t>
  </si>
  <si>
    <t>P@30</t>
  </si>
  <si>
    <t>MAP</t>
  </si>
  <si>
    <t>fbTerms</t>
  </si>
  <si>
    <t>fbOrigWeight</t>
  </si>
  <si>
    <t>Lambda = 0.4</t>
  </si>
  <si>
    <t>fbTerms = 10</t>
  </si>
  <si>
    <t>fbTerms = 20</t>
  </si>
  <si>
    <t>fbTerms = 30</t>
  </si>
  <si>
    <t>Indri</t>
  </si>
  <si>
    <t>AND</t>
  </si>
  <si>
    <t>win/loss</t>
  </si>
  <si>
    <t>win</t>
  </si>
  <si>
    <t>loss</t>
  </si>
  <si>
    <t>-</t>
  </si>
  <si>
    <t>Indri Reference</t>
  </si>
  <si>
    <t>QryExp Self</t>
  </si>
  <si>
    <t>QryExp</t>
  </si>
  <si>
    <t>Indri - BOW</t>
  </si>
  <si>
    <t>Ranked</t>
  </si>
  <si>
    <t>Boolean</t>
  </si>
  <si>
    <t>BOW</t>
  </si>
  <si>
    <t>Query Expansion</t>
  </si>
  <si>
    <t>Your</t>
  </si>
  <si>
    <t>System</t>
  </si>
  <si>
    <t>Reference</t>
  </si>
  <si>
    <t>N/A</t>
  </si>
  <si>
    <t>14/5</t>
  </si>
  <si>
    <t>15/5</t>
  </si>
  <si>
    <t>14/6</t>
  </si>
  <si>
    <t xml:space="preserve">%age </t>
  </si>
  <si>
    <t xml:space="preserve">query </t>
  </si>
  <si>
    <t>% to AND</t>
  </si>
  <si>
    <t>delta%</t>
  </si>
  <si>
    <t>%toAND</t>
  </si>
  <si>
    <t>%toAnd</t>
  </si>
  <si>
    <t xml:space="preserve">AND </t>
  </si>
  <si>
    <t xml:space="preserve">Queries </t>
  </si>
  <si>
    <t>%DELTA</t>
  </si>
  <si>
    <t xml:space="preserve">Ranked Boolean AND </t>
  </si>
  <si>
    <t xml:space="preserve">Query </t>
  </si>
  <si>
    <t xml:space="preserve">%toAND </t>
  </si>
  <si>
    <t>%delta</t>
  </si>
  <si>
    <t xml:space="preserve">Indri BOW reference </t>
  </si>
  <si>
    <t>win.loss</t>
  </si>
  <si>
    <t>winloss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</si>
</sst>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8" formatCode="#\ ???/???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10" xfId="0" applyBorder="1"/>
    <xf numFmtId="0" fontId="3" fillId="0" borderId="0" xfId="0" applyFont="1"/>
    <xf numFmtId="0" fontId="3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1" fillId="0" borderId="14" xfId="1" applyBorder="1"/>
    <xf numFmtId="0" fontId="0" fillId="0" borderId="16" xfId="0" applyBorder="1"/>
    <xf numFmtId="0" fontId="0" fillId="0" borderId="17" xfId="0" applyBorder="1"/>
    <xf numFmtId="164" fontId="0" fillId="0" borderId="0" xfId="0" applyNumberFormat="1" applyBorder="1"/>
    <xf numFmtId="164" fontId="0" fillId="0" borderId="0" xfId="0" applyNumberFormat="1" applyFill="1" applyBorder="1"/>
    <xf numFmtId="168" fontId="0" fillId="0" borderId="0" xfId="2" applyNumberFormat="1" applyFont="1"/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5" fillId="0" borderId="21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0" fontId="0" fillId="0" borderId="0" xfId="0" applyFont="1"/>
    <xf numFmtId="164" fontId="0" fillId="0" borderId="0" xfId="0" applyNumberFormat="1" applyFont="1"/>
    <xf numFmtId="0" fontId="3" fillId="0" borderId="0" xfId="0" applyFont="1" applyAlignment="1">
      <alignment horizontal="center"/>
    </xf>
    <xf numFmtId="9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'Exp2'!$A$5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'Exp2'!$B$5:$G$5</c:f>
              <c:numCache>
                <c:formatCode>0.0000</c:formatCode>
                <c:ptCount val="6"/>
                <c:pt idx="0">
                  <c:v>0.13239999999999999</c:v>
                </c:pt>
                <c:pt idx="1">
                  <c:v>0.13450000000000001</c:v>
                </c:pt>
                <c:pt idx="2">
                  <c:v>0.13450000000000001</c:v>
                </c:pt>
                <c:pt idx="3">
                  <c:v>0.1371</c:v>
                </c:pt>
                <c:pt idx="4">
                  <c:v>0.1391</c:v>
                </c:pt>
                <c:pt idx="5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A-CF44-9298-6178911F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022480"/>
        <c:axId val="977009232"/>
      </c:barChart>
      <c:catAx>
        <c:axId val="9770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09232"/>
        <c:crosses val="autoZero"/>
        <c:auto val="1"/>
        <c:lblAlgn val="ctr"/>
        <c:lblOffset val="100"/>
        <c:noMultiLvlLbl val="0"/>
      </c:catAx>
      <c:valAx>
        <c:axId val="9770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'Exp2'!$A$4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'Exp2'!$B$4:$G$4</c:f>
              <c:numCache>
                <c:formatCode>0.0000</c:formatCode>
                <c:ptCount val="6"/>
                <c:pt idx="0">
                  <c:v>0.42670000000000002</c:v>
                </c:pt>
                <c:pt idx="1">
                  <c:v>0.43</c:v>
                </c:pt>
                <c:pt idx="2">
                  <c:v>0.435</c:v>
                </c:pt>
                <c:pt idx="3">
                  <c:v>0.45829999999999999</c:v>
                </c:pt>
                <c:pt idx="4">
                  <c:v>0.48499999999999999</c:v>
                </c:pt>
                <c:pt idx="5">
                  <c:v>0.46329999999999999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6-0648-887A-444811F8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893088"/>
        <c:axId val="978894768"/>
      </c:barChart>
      <c:catAx>
        <c:axId val="9788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94768"/>
        <c:crosses val="autoZero"/>
        <c:auto val="1"/>
        <c:lblAlgn val="ctr"/>
        <c:lblOffset val="100"/>
        <c:noMultiLvlLbl val="0"/>
      </c:catAx>
      <c:valAx>
        <c:axId val="9788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'Exp2'!$A$3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'Exp2'!$B$3:$G$3</c:f>
              <c:numCache>
                <c:formatCode>0.0000</c:formatCode>
                <c:ptCount val="6"/>
                <c:pt idx="0">
                  <c:v>0.4425</c:v>
                </c:pt>
                <c:pt idx="1">
                  <c:v>0.44750000000000001</c:v>
                </c:pt>
                <c:pt idx="2">
                  <c:v>0.45</c:v>
                </c:pt>
                <c:pt idx="3">
                  <c:v>0.45750000000000002</c:v>
                </c:pt>
                <c:pt idx="4">
                  <c:v>0.48249999999999998</c:v>
                </c:pt>
                <c:pt idx="5">
                  <c:v>0.46500000000000002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A-6248-9937-C8748DED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706112"/>
        <c:axId val="976816240"/>
      </c:barChart>
      <c:catAx>
        <c:axId val="9757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16240"/>
        <c:crosses val="autoZero"/>
        <c:auto val="1"/>
        <c:lblAlgn val="ctr"/>
        <c:lblOffset val="100"/>
        <c:noMultiLvlLbl val="0"/>
      </c:catAx>
      <c:valAx>
        <c:axId val="9768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'Exp2'!$A$2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'Exp2'!$B$2:$G$2</c:f>
              <c:numCache>
                <c:formatCode>0.0000</c:formatCode>
                <c:ptCount val="6"/>
                <c:pt idx="0">
                  <c:v>0.46</c:v>
                </c:pt>
                <c:pt idx="1">
                  <c:v>0.47</c:v>
                </c:pt>
                <c:pt idx="2">
                  <c:v>0.47499999999999998</c:v>
                </c:pt>
                <c:pt idx="3">
                  <c:v>0.47499999999999998</c:v>
                </c:pt>
                <c:pt idx="4">
                  <c:v>0.47499999999999998</c:v>
                </c:pt>
                <c:pt idx="5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4-B74C-AB4B-92D73B4A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554016"/>
        <c:axId val="975018784"/>
      </c:barChart>
      <c:catAx>
        <c:axId val="9785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18784"/>
        <c:crosses val="autoZero"/>
        <c:auto val="1"/>
        <c:lblAlgn val="ctr"/>
        <c:lblOffset val="100"/>
        <c:noMultiLvlLbl val="0"/>
      </c:catAx>
      <c:valAx>
        <c:axId val="9750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5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'Exp3'!$A$4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'Exp3'!$B$4:$H$4</c:f>
              <c:numCache>
                <c:formatCode>0.0000</c:formatCode>
                <c:ptCount val="7"/>
                <c:pt idx="0">
                  <c:v>0.43669999999999998</c:v>
                </c:pt>
                <c:pt idx="1">
                  <c:v>0.48499999999999999</c:v>
                </c:pt>
                <c:pt idx="2">
                  <c:v>0.5</c:v>
                </c:pt>
                <c:pt idx="3">
                  <c:v>0.5</c:v>
                </c:pt>
                <c:pt idx="4">
                  <c:v>0.49830000000000002</c:v>
                </c:pt>
                <c:pt idx="5">
                  <c:v>0.50170000000000003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B-904A-B11C-480AC4E36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954976"/>
        <c:axId val="979943184"/>
      </c:barChart>
      <c:catAx>
        <c:axId val="97995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43184"/>
        <c:crosses val="autoZero"/>
        <c:auto val="1"/>
        <c:lblAlgn val="ctr"/>
        <c:lblOffset val="100"/>
        <c:noMultiLvlLbl val="0"/>
      </c:catAx>
      <c:valAx>
        <c:axId val="9799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'Exp3'!$A$3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'Exp3'!$B$3:$H$3</c:f>
              <c:numCache>
                <c:formatCode>0.0000</c:formatCode>
                <c:ptCount val="7"/>
                <c:pt idx="0">
                  <c:v>0.44500000000000001</c:v>
                </c:pt>
                <c:pt idx="1">
                  <c:v>0.48249999999999998</c:v>
                </c:pt>
                <c:pt idx="2">
                  <c:v>0.505</c:v>
                </c:pt>
                <c:pt idx="3">
                  <c:v>0.51500000000000001</c:v>
                </c:pt>
                <c:pt idx="4">
                  <c:v>0.51749999999999996</c:v>
                </c:pt>
                <c:pt idx="5">
                  <c:v>0.52</c:v>
                </c:pt>
                <c:pt idx="6">
                  <c:v>0.51749999999999996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9-5341-B7DC-1F1177F9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370784"/>
        <c:axId val="977320368"/>
      </c:barChart>
      <c:catAx>
        <c:axId val="9773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20368"/>
        <c:crosses val="autoZero"/>
        <c:auto val="1"/>
        <c:lblAlgn val="ctr"/>
        <c:lblOffset val="100"/>
        <c:noMultiLvlLbl val="0"/>
      </c:catAx>
      <c:valAx>
        <c:axId val="9773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7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'Exp3'!$A$2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'Exp3'!$B$2:$H$2</c:f>
              <c:numCache>
                <c:formatCode>0.0000</c:formatCode>
                <c:ptCount val="7"/>
                <c:pt idx="0">
                  <c:v>0.45</c:v>
                </c:pt>
                <c:pt idx="1">
                  <c:v>0.47499999999999998</c:v>
                </c:pt>
                <c:pt idx="2">
                  <c:v>0.51500000000000001</c:v>
                </c:pt>
                <c:pt idx="3">
                  <c:v>0.51500000000000001</c:v>
                </c:pt>
                <c:pt idx="4">
                  <c:v>0.52</c:v>
                </c:pt>
                <c:pt idx="5">
                  <c:v>0.53</c:v>
                </c:pt>
                <c:pt idx="6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7D40-A66A-B3B600CFE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299200"/>
        <c:axId val="928260128"/>
      </c:barChart>
      <c:catAx>
        <c:axId val="9282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0128"/>
        <c:crosses val="autoZero"/>
        <c:auto val="1"/>
        <c:lblAlgn val="ctr"/>
        <c:lblOffset val="100"/>
        <c:noMultiLvlLbl val="0"/>
      </c:catAx>
      <c:valAx>
        <c:axId val="9282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'Exp3'!$A$5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'Exp3'!$B$5:$G$5</c:f>
              <c:numCache>
                <c:formatCode>0.0000</c:formatCode>
                <c:ptCount val="6"/>
                <c:pt idx="0">
                  <c:v>0.13500000000000001</c:v>
                </c:pt>
                <c:pt idx="1">
                  <c:v>0.1391</c:v>
                </c:pt>
                <c:pt idx="2">
                  <c:v>0.14410000000000001</c:v>
                </c:pt>
                <c:pt idx="3">
                  <c:v>0.1447</c:v>
                </c:pt>
                <c:pt idx="4">
                  <c:v>0.14649999999999999</c:v>
                </c:pt>
                <c:pt idx="5">
                  <c:v>0.1462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C-514F-9B40-3150EE24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161632"/>
        <c:axId val="1034738016"/>
      </c:barChart>
      <c:catAx>
        <c:axId val="10351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38016"/>
        <c:crosses val="autoZero"/>
        <c:auto val="1"/>
        <c:lblAlgn val="ctr"/>
        <c:lblOffset val="100"/>
        <c:noMultiLvlLbl val="0"/>
      </c:catAx>
      <c:valAx>
        <c:axId val="10347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'Exp4'!$A$6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'Exp4'!$B$6:$G$6</c:f>
              <c:numCache>
                <c:formatCode>0.0000</c:formatCode>
                <c:ptCount val="6"/>
                <c:pt idx="0">
                  <c:v>0.1353</c:v>
                </c:pt>
                <c:pt idx="1">
                  <c:v>0.14660000000000001</c:v>
                </c:pt>
                <c:pt idx="2">
                  <c:v>0.14729999999999999</c:v>
                </c:pt>
                <c:pt idx="3">
                  <c:v>0.1452</c:v>
                </c:pt>
                <c:pt idx="4">
                  <c:v>0.14099999999999999</c:v>
                </c:pt>
                <c:pt idx="5">
                  <c:v>0.13350000000000001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8-1547-9D98-2906AE12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959408"/>
        <c:axId val="975961088"/>
      </c:barChart>
      <c:catAx>
        <c:axId val="97595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61088"/>
        <c:crosses val="autoZero"/>
        <c:auto val="1"/>
        <c:lblAlgn val="ctr"/>
        <c:lblOffset val="100"/>
        <c:noMultiLvlLbl val="0"/>
      </c:catAx>
      <c:valAx>
        <c:axId val="97596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5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'Exp4'!$A$5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'Exp4'!$B$5:$G$5</c:f>
              <c:numCache>
                <c:formatCode>0.0000</c:formatCode>
                <c:ptCount val="6"/>
                <c:pt idx="0">
                  <c:v>0.48830000000000001</c:v>
                </c:pt>
                <c:pt idx="1">
                  <c:v>0.5</c:v>
                </c:pt>
                <c:pt idx="2">
                  <c:v>0.505</c:v>
                </c:pt>
                <c:pt idx="3">
                  <c:v>0.49170000000000003</c:v>
                </c:pt>
                <c:pt idx="4">
                  <c:v>0.47</c:v>
                </c:pt>
                <c:pt idx="5">
                  <c:v>0.42670000000000002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3-844A-9D97-616DDF37E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581472"/>
        <c:axId val="975522896"/>
      </c:barChart>
      <c:catAx>
        <c:axId val="97558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22896"/>
        <c:crosses val="autoZero"/>
        <c:auto val="1"/>
        <c:lblAlgn val="ctr"/>
        <c:lblOffset val="100"/>
        <c:noMultiLvlLbl val="0"/>
      </c:catAx>
      <c:valAx>
        <c:axId val="9755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'Exp4'!$A$4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'Exp4'!$B$4:$G$4</c:f>
              <c:numCache>
                <c:formatCode>0.0000</c:formatCode>
                <c:ptCount val="6"/>
                <c:pt idx="0">
                  <c:v>0.51</c:v>
                </c:pt>
                <c:pt idx="1">
                  <c:v>0.52500000000000002</c:v>
                </c:pt>
                <c:pt idx="2">
                  <c:v>0.52</c:v>
                </c:pt>
                <c:pt idx="3">
                  <c:v>0.50749999999999995</c:v>
                </c:pt>
                <c:pt idx="4">
                  <c:v>0.48499999999999999</c:v>
                </c:pt>
                <c:pt idx="5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A-1B42-A3AD-D8268C104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312032"/>
        <c:axId val="976565648"/>
      </c:barChart>
      <c:catAx>
        <c:axId val="97631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65648"/>
        <c:crosses val="autoZero"/>
        <c:auto val="1"/>
        <c:lblAlgn val="ctr"/>
        <c:lblOffset val="100"/>
        <c:noMultiLvlLbl val="0"/>
      </c:catAx>
      <c:valAx>
        <c:axId val="9765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'Exp4'!$A$3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'Exp4'!$B$3:$G$3</c:f>
              <c:numCache>
                <c:formatCode>0.0000</c:formatCode>
                <c:ptCount val="6"/>
                <c:pt idx="0">
                  <c:v>0.52</c:v>
                </c:pt>
                <c:pt idx="1">
                  <c:v>0.53</c:v>
                </c:pt>
                <c:pt idx="2">
                  <c:v>0.52500000000000002</c:v>
                </c:pt>
                <c:pt idx="3">
                  <c:v>0.52</c:v>
                </c:pt>
                <c:pt idx="4">
                  <c:v>0.52</c:v>
                </c:pt>
                <c:pt idx="5">
                  <c:v>0.48499999999999999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4-E647-8354-BECB46B8B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849152"/>
        <c:axId val="978850832"/>
      </c:barChart>
      <c:catAx>
        <c:axId val="9788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50832"/>
        <c:crosses val="autoZero"/>
        <c:auto val="1"/>
        <c:lblAlgn val="ctr"/>
        <c:lblOffset val="100"/>
        <c:noMultiLvlLbl val="0"/>
      </c:catAx>
      <c:valAx>
        <c:axId val="9788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% change in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'Exp4'!$P$42:$U$42</c:f>
              <c:numCache>
                <c:formatCode>General</c:formatCode>
                <c:ptCount val="6"/>
                <c:pt idx="0">
                  <c:v>20</c:v>
                </c:pt>
                <c:pt idx="1">
                  <c:v>11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E942-A3CC-DA04ABBA4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47080480"/>
        <c:axId val="1047082160"/>
      </c:barChart>
      <c:catAx>
        <c:axId val="10470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82160"/>
        <c:crosses val="autoZero"/>
        <c:auto val="1"/>
        <c:lblAlgn val="ctr"/>
        <c:lblOffset val="100"/>
        <c:noMultiLvlLbl val="0"/>
      </c:catAx>
      <c:valAx>
        <c:axId val="1047082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708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fbTerms</a:t>
            </a:r>
            <a:r>
              <a:rPr lang="en-US" baseline="0"/>
              <a:t> =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'Exp5'!$A$3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'Exp5'!$B$1:$G$2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10</c:v>
                  </c:pt>
                </c:lvl>
              </c:multiLvlStrCache>
            </c:multiLvlStrRef>
          </c:cat>
          <c:val>
            <c:numRef>
              <c:f>'Exp5'!$B$3:$G$3</c:f>
              <c:numCache>
                <c:formatCode>0.0000</c:formatCode>
                <c:ptCount val="6"/>
                <c:pt idx="0">
                  <c:v>0.505</c:v>
                </c:pt>
                <c:pt idx="1">
                  <c:v>0.48499999999999999</c:v>
                </c:pt>
                <c:pt idx="2">
                  <c:v>0.48</c:v>
                </c:pt>
                <c:pt idx="3">
                  <c:v>0.45</c:v>
                </c:pt>
                <c:pt idx="4">
                  <c:v>0.43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2-144F-B65F-71F85DA33074}"/>
            </c:ext>
          </c:extLst>
        </c:ser>
        <c:ser>
          <c:idx val="1"/>
          <c:order val="1"/>
          <c:tx>
            <c:strRef>
              <c:f>'Exp5'!$A$4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'Exp5'!$B$1:$G$2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10</c:v>
                  </c:pt>
                </c:lvl>
              </c:multiLvlStrCache>
            </c:multiLvlStrRef>
          </c:cat>
          <c:val>
            <c:numRef>
              <c:f>'Exp5'!$B$4:$G$4</c:f>
              <c:numCache>
                <c:formatCode>0.0000</c:formatCode>
                <c:ptCount val="6"/>
                <c:pt idx="0">
                  <c:v>0.4975</c:v>
                </c:pt>
                <c:pt idx="1">
                  <c:v>0.49</c:v>
                </c:pt>
                <c:pt idx="2">
                  <c:v>0.48249999999999998</c:v>
                </c:pt>
                <c:pt idx="3">
                  <c:v>0.46</c:v>
                </c:pt>
                <c:pt idx="4">
                  <c:v>0.45500000000000002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2-144F-B65F-71F85DA33074}"/>
            </c:ext>
          </c:extLst>
        </c:ser>
        <c:ser>
          <c:idx val="2"/>
          <c:order val="2"/>
          <c:tx>
            <c:strRef>
              <c:f>'Exp5'!$A$5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'Exp5'!$B$1:$G$2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10</c:v>
                  </c:pt>
                </c:lvl>
              </c:multiLvlStrCache>
            </c:multiLvlStrRef>
          </c:cat>
          <c:val>
            <c:numRef>
              <c:f>'Exp5'!$B$5:$G$5</c:f>
              <c:numCache>
                <c:formatCode>0.0000</c:formatCode>
                <c:ptCount val="6"/>
                <c:pt idx="0">
                  <c:v>0.49330000000000002</c:v>
                </c:pt>
                <c:pt idx="1">
                  <c:v>0.49</c:v>
                </c:pt>
                <c:pt idx="2">
                  <c:v>0.48170000000000002</c:v>
                </c:pt>
                <c:pt idx="3">
                  <c:v>0.46329999999999999</c:v>
                </c:pt>
                <c:pt idx="4">
                  <c:v>0.435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2-144F-B65F-71F85DA33074}"/>
            </c:ext>
          </c:extLst>
        </c:ser>
        <c:ser>
          <c:idx val="3"/>
          <c:order val="3"/>
          <c:tx>
            <c:strRef>
              <c:f>'Exp5'!$A$6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'Exp5'!$B$1:$G$2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10</c:v>
                  </c:pt>
                </c:lvl>
              </c:multiLvlStrCache>
            </c:multiLvlStrRef>
          </c:cat>
          <c:val>
            <c:numRef>
              <c:f>'Exp5'!$B$6:$G$6</c:f>
              <c:numCache>
                <c:formatCode>0.0000</c:formatCode>
                <c:ptCount val="6"/>
                <c:pt idx="0">
                  <c:v>0.14000000000000001</c:v>
                </c:pt>
                <c:pt idx="1">
                  <c:v>0.1409</c:v>
                </c:pt>
                <c:pt idx="2">
                  <c:v>0.1391</c:v>
                </c:pt>
                <c:pt idx="3">
                  <c:v>0.13350000000000001</c:v>
                </c:pt>
                <c:pt idx="4">
                  <c:v>0.128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2-144F-B65F-71F85DA3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476544"/>
        <c:axId val="981478224"/>
      </c:barChart>
      <c:catAx>
        <c:axId val="9814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78224"/>
        <c:crosses val="autoZero"/>
        <c:auto val="1"/>
        <c:lblAlgn val="ctr"/>
        <c:lblOffset val="100"/>
        <c:noMultiLvlLbl val="0"/>
      </c:catAx>
      <c:valAx>
        <c:axId val="9814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7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fbTerms =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'Exp5'!$A$9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'Exp5'!$B$7:$G$8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20</c:v>
                  </c:pt>
                </c:lvl>
              </c:multiLvlStrCache>
            </c:multiLvlStrRef>
          </c:cat>
          <c:val>
            <c:numRef>
              <c:f>'Exp5'!$B$9:$G$9</c:f>
              <c:numCache>
                <c:formatCode>0.0000</c:formatCode>
                <c:ptCount val="6"/>
                <c:pt idx="0">
                  <c:v>0.52500000000000002</c:v>
                </c:pt>
                <c:pt idx="1">
                  <c:v>0.52</c:v>
                </c:pt>
                <c:pt idx="2">
                  <c:v>0.51500000000000001</c:v>
                </c:pt>
                <c:pt idx="3">
                  <c:v>0.505</c:v>
                </c:pt>
                <c:pt idx="4">
                  <c:v>0.47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0-8D43-AC0E-FFA30E29305C}"/>
            </c:ext>
          </c:extLst>
        </c:ser>
        <c:ser>
          <c:idx val="1"/>
          <c:order val="1"/>
          <c:tx>
            <c:strRef>
              <c:f>'Exp5'!$A$10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'Exp5'!$B$7:$G$8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20</c:v>
                  </c:pt>
                </c:lvl>
              </c:multiLvlStrCache>
            </c:multiLvlStrRef>
          </c:cat>
          <c:val>
            <c:numRef>
              <c:f>'Exp5'!$B$10:$G$10</c:f>
              <c:numCache>
                <c:formatCode>0.0000</c:formatCode>
                <c:ptCount val="6"/>
                <c:pt idx="0">
                  <c:v>0.51570000000000005</c:v>
                </c:pt>
                <c:pt idx="1">
                  <c:v>0.51249999999999996</c:v>
                </c:pt>
                <c:pt idx="2">
                  <c:v>0.51</c:v>
                </c:pt>
                <c:pt idx="3">
                  <c:v>0.505</c:v>
                </c:pt>
                <c:pt idx="4">
                  <c:v>0.46250000000000002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0-8D43-AC0E-FFA30E29305C}"/>
            </c:ext>
          </c:extLst>
        </c:ser>
        <c:ser>
          <c:idx val="2"/>
          <c:order val="2"/>
          <c:tx>
            <c:strRef>
              <c:f>'Exp5'!$A$11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'Exp5'!$B$7:$G$8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20</c:v>
                  </c:pt>
                </c:lvl>
              </c:multiLvlStrCache>
            </c:multiLvlStrRef>
          </c:cat>
          <c:val>
            <c:numRef>
              <c:f>'Exp5'!$B$11:$G$11</c:f>
              <c:numCache>
                <c:formatCode>0.0000</c:formatCode>
                <c:ptCount val="6"/>
                <c:pt idx="0">
                  <c:v>0.51170000000000004</c:v>
                </c:pt>
                <c:pt idx="1">
                  <c:v>0.505</c:v>
                </c:pt>
                <c:pt idx="2">
                  <c:v>0.49669999999999997</c:v>
                </c:pt>
                <c:pt idx="3">
                  <c:v>0.48499999999999999</c:v>
                </c:pt>
                <c:pt idx="4">
                  <c:v>0.44829999999999998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0-8D43-AC0E-FFA30E29305C}"/>
            </c:ext>
          </c:extLst>
        </c:ser>
        <c:ser>
          <c:idx val="3"/>
          <c:order val="3"/>
          <c:tx>
            <c:strRef>
              <c:f>'Exp5'!$A$12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'Exp5'!$B$7:$G$8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20</c:v>
                  </c:pt>
                </c:lvl>
              </c:multiLvlStrCache>
            </c:multiLvlStrRef>
          </c:cat>
          <c:val>
            <c:numRef>
              <c:f>'Exp5'!$B$12:$G$12</c:f>
              <c:numCache>
                <c:formatCode>General</c:formatCode>
                <c:ptCount val="6"/>
                <c:pt idx="0">
                  <c:v>0.1454</c:v>
                </c:pt>
                <c:pt idx="1">
                  <c:v>0.14660000000000001</c:v>
                </c:pt>
                <c:pt idx="2">
                  <c:v>0.1452</c:v>
                </c:pt>
                <c:pt idx="3">
                  <c:v>0.14080000000000001</c:v>
                </c:pt>
                <c:pt idx="4">
                  <c:v>0.1346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0-8D43-AC0E-FFA30E29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945888"/>
        <c:axId val="981232992"/>
      </c:barChart>
      <c:catAx>
        <c:axId val="9809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32992"/>
        <c:crosses val="autoZero"/>
        <c:auto val="1"/>
        <c:lblAlgn val="ctr"/>
        <c:lblOffset val="100"/>
        <c:noMultiLvlLbl val="0"/>
      </c:catAx>
      <c:valAx>
        <c:axId val="9812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fbTerms =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'Exp5'!$A$15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'Exp5'!$B$13:$G$14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30</c:v>
                  </c:pt>
                </c:lvl>
              </c:multiLvlStrCache>
            </c:multiLvlStrRef>
          </c:cat>
          <c:val>
            <c:numRef>
              <c:f>'Exp5'!$B$15:$G$15</c:f>
              <c:numCache>
                <c:formatCode>0.0000</c:formatCode>
                <c:ptCount val="6"/>
                <c:pt idx="0">
                  <c:v>0.52</c:v>
                </c:pt>
                <c:pt idx="1">
                  <c:v>0.53500000000000003</c:v>
                </c:pt>
                <c:pt idx="2">
                  <c:v>0.52</c:v>
                </c:pt>
                <c:pt idx="3">
                  <c:v>0.505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3-2841-94EF-59405BC7B4F3}"/>
            </c:ext>
          </c:extLst>
        </c:ser>
        <c:ser>
          <c:idx val="1"/>
          <c:order val="1"/>
          <c:tx>
            <c:strRef>
              <c:f>'Exp5'!$A$16</c:f>
              <c:strCache>
                <c:ptCount val="1"/>
                <c:pt idx="0">
                  <c:v>P@20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'Exp5'!$B$13:$G$14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30</c:v>
                  </c:pt>
                </c:lvl>
              </c:multiLvlStrCache>
            </c:multiLvlStrRef>
          </c:cat>
          <c:val>
            <c:numRef>
              <c:f>'Exp5'!$B$16:$G$16</c:f>
              <c:numCache>
                <c:formatCode>0.0000</c:formatCode>
                <c:ptCount val="6"/>
                <c:pt idx="0">
                  <c:v>0.53</c:v>
                </c:pt>
                <c:pt idx="1">
                  <c:v>0.51500000000000001</c:v>
                </c:pt>
                <c:pt idx="2">
                  <c:v>0.51249999999999996</c:v>
                </c:pt>
                <c:pt idx="3">
                  <c:v>0.51249999999999996</c:v>
                </c:pt>
                <c:pt idx="4">
                  <c:v>0.50249999999999995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3-2841-94EF-59405BC7B4F3}"/>
            </c:ext>
          </c:extLst>
        </c:ser>
        <c:ser>
          <c:idx val="2"/>
          <c:order val="2"/>
          <c:tx>
            <c:strRef>
              <c:f>'Exp5'!$A$17</c:f>
              <c:strCache>
                <c:ptCount val="1"/>
                <c:pt idx="0">
                  <c:v>P@30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'Exp5'!$B$13:$G$14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30</c:v>
                  </c:pt>
                </c:lvl>
              </c:multiLvlStrCache>
            </c:multiLvlStrRef>
          </c:cat>
          <c:val>
            <c:numRef>
              <c:f>'Exp5'!$B$17:$G$17</c:f>
              <c:numCache>
                <c:formatCode>0.0000</c:formatCode>
                <c:ptCount val="6"/>
                <c:pt idx="0">
                  <c:v>0.50670000000000004</c:v>
                </c:pt>
                <c:pt idx="1">
                  <c:v>0.50829999999999997</c:v>
                </c:pt>
                <c:pt idx="2">
                  <c:v>0.505</c:v>
                </c:pt>
                <c:pt idx="3">
                  <c:v>0.495</c:v>
                </c:pt>
                <c:pt idx="4">
                  <c:v>0.47670000000000001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3-2841-94EF-59405BC7B4F3}"/>
            </c:ext>
          </c:extLst>
        </c:ser>
        <c:ser>
          <c:idx val="3"/>
          <c:order val="3"/>
          <c:tx>
            <c:strRef>
              <c:f>'Exp5'!$A$18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'Exp5'!$B$13:$G$14</c:f>
              <c:multiLvlStrCache>
                <c:ptCount val="6"/>
                <c:lvl>
                  <c:pt idx="0">
                    <c:v>0</c:v>
                  </c:pt>
                  <c:pt idx="1">
                    <c:v>0.2</c:v>
                  </c:pt>
                  <c:pt idx="2">
                    <c:v>Lambda = 0.4</c:v>
                  </c:pt>
                  <c:pt idx="3">
                    <c:v>0.6</c:v>
                  </c:pt>
                  <c:pt idx="4">
                    <c:v>0.8</c:v>
                  </c:pt>
                  <c:pt idx="5">
                    <c:v>1</c:v>
                  </c:pt>
                </c:lvl>
                <c:lvl>
                  <c:pt idx="0">
                    <c:v>fbTerms = 30</c:v>
                  </c:pt>
                </c:lvl>
              </c:multiLvlStrCache>
            </c:multiLvlStrRef>
          </c:cat>
          <c:val>
            <c:numRef>
              <c:f>'Exp5'!$B$18:$G$18</c:f>
              <c:numCache>
                <c:formatCode>0.0000</c:formatCode>
                <c:ptCount val="6"/>
                <c:pt idx="0">
                  <c:v>0.14829999999999999</c:v>
                </c:pt>
                <c:pt idx="1">
                  <c:v>0.1489</c:v>
                </c:pt>
                <c:pt idx="2">
                  <c:v>0.14810000000000001</c:v>
                </c:pt>
                <c:pt idx="3">
                  <c:v>0.1447</c:v>
                </c:pt>
                <c:pt idx="4">
                  <c:v>0.13930000000000001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43-2841-94EF-59405BC7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278720"/>
        <c:axId val="978427904"/>
      </c:barChart>
      <c:catAx>
        <c:axId val="9792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27904"/>
        <c:crosses val="autoZero"/>
        <c:auto val="1"/>
        <c:lblAlgn val="ctr"/>
        <c:lblOffset val="100"/>
        <c:noMultiLvlLbl val="0"/>
      </c:catAx>
      <c:valAx>
        <c:axId val="9784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'Exp5'!$W$19:$W$21</c:f>
              <c:numCache>
                <c:formatCode>General</c:formatCode>
                <c:ptCount val="3"/>
                <c:pt idx="0">
                  <c:v>0.14000000000000001</c:v>
                </c:pt>
                <c:pt idx="1">
                  <c:v>0.1454</c:v>
                </c:pt>
                <c:pt idx="2">
                  <c:v>0.14829999999999999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8-754B-AA42-8689A243613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'Exp5'!$X$19:$X$21</c:f>
              <c:numCache>
                <c:formatCode>General</c:formatCode>
                <c:ptCount val="3"/>
                <c:pt idx="0">
                  <c:v>0.1409</c:v>
                </c:pt>
                <c:pt idx="1">
                  <c:v>0.14660000000000001</c:v>
                </c:pt>
                <c:pt idx="2">
                  <c:v>0.1489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8-754B-AA42-8689A2436139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'Exp5'!$Y$19:$Y$21</c:f>
              <c:numCache>
                <c:formatCode>General</c:formatCode>
                <c:ptCount val="3"/>
                <c:pt idx="0">
                  <c:v>0.1391</c:v>
                </c:pt>
                <c:pt idx="1">
                  <c:v>0.1452</c:v>
                </c:pt>
                <c:pt idx="2">
                  <c:v>0.14810000000000001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8-754B-AA42-8689A2436139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'Exp5'!$Z$19:$Z$21</c:f>
              <c:numCache>
                <c:formatCode>General</c:formatCode>
                <c:ptCount val="3"/>
                <c:pt idx="0">
                  <c:v>0.13350000000000001</c:v>
                </c:pt>
                <c:pt idx="1">
                  <c:v>0.14080000000000001</c:v>
                </c:pt>
                <c:pt idx="2">
                  <c:v>0.1447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B8-754B-AA42-8689A2436139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'Exp5'!$AA$19:$AA$21</c:f>
              <c:numCache>
                <c:formatCode>General</c:formatCode>
                <c:ptCount val="3"/>
                <c:pt idx="0">
                  <c:v>0.128</c:v>
                </c:pt>
                <c:pt idx="1">
                  <c:v>0.1346</c:v>
                </c:pt>
                <c:pt idx="2">
                  <c:v>0.13930000000000001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B8-754B-AA42-8689A24361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299696"/>
        <c:axId val="980931616"/>
      </c:barChart>
      <c:catAx>
        <c:axId val="9812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31616"/>
        <c:crosses val="autoZero"/>
        <c:auto val="1"/>
        <c:lblAlgn val="ctr"/>
        <c:lblOffset val="100"/>
        <c:noMultiLvlLbl val="0"/>
      </c:catAx>
      <c:valAx>
        <c:axId val="9809316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2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180730</xdr:colOff>
      <xdr:row>5</xdr:row>
      <xdr:rowOff>78520</xdr:rowOff>
    </xdr:from>
    <xdr:to>
      <xdr:col>5</xdr:col>
      <xdr:colOff>631336</xdr:colOff>
      <xdr:row>19</xdr:row>
      <xdr:rowOff>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CFAE5-28E3-F745-B916-EB2581F18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742461</xdr:colOff>
      <xdr:row>5</xdr:row>
      <xdr:rowOff>90732</xdr:rowOff>
    </xdr:from>
    <xdr:to>
      <xdr:col>11</xdr:col>
      <xdr:colOff>368788</xdr:colOff>
      <xdr:row>19</xdr:row>
      <xdr:rowOff>13067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CDE67-40A8-8148-A9E4-895AEA7C1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188057</xdr:colOff>
      <xdr:row>19</xdr:row>
      <xdr:rowOff>170595</xdr:rowOff>
    </xdr:from>
    <xdr:to>
      <xdr:col>5</xdr:col>
      <xdr:colOff>638663</xdr:colOff>
      <xdr:row>33</xdr:row>
      <xdr:rowOff>92930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BA038B-19B4-D949-847C-1C3B47A8A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19</xdr:row>
      <xdr:rowOff>171450</xdr:rowOff>
    </xdr:from>
    <xdr:to>
      <xdr:col>11</xdr:col>
      <xdr:colOff>450850</xdr:colOff>
      <xdr:row>33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E23C8E-9DEA-9B42-B072-920F6EE6E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43961</xdr:colOff>
      <xdr:row>5</xdr:row>
      <xdr:rowOff>74247</xdr:rowOff>
    </xdr:from>
    <xdr:to>
      <xdr:col>11</xdr:col>
      <xdr:colOff>464038</xdr:colOff>
      <xdr:row>18</xdr:row>
      <xdr:rowOff>150447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A39C58-2DD9-6049-BBC1-B97363B73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170961</xdr:colOff>
      <xdr:row>19</xdr:row>
      <xdr:rowOff>64477</xdr:rowOff>
    </xdr:from>
    <xdr:to>
      <xdr:col>5</xdr:col>
      <xdr:colOff>591038</xdr:colOff>
      <xdr:row>32</xdr:row>
      <xdr:rowOff>140677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93F646-AFB4-0B4A-94C8-5A1FF5BB1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14653</xdr:colOff>
      <xdr:row>19</xdr:row>
      <xdr:rowOff>84016</xdr:rowOff>
    </xdr:from>
    <xdr:to>
      <xdr:col>11</xdr:col>
      <xdr:colOff>434730</xdr:colOff>
      <xdr:row>32</xdr:row>
      <xdr:rowOff>160216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1ED085-5864-DF4A-AE63-7AAD3D7B3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106680</xdr:colOff>
      <xdr:row>5</xdr:row>
      <xdr:rowOff>45720</xdr:rowOff>
    </xdr:from>
    <xdr:to>
      <xdr:col>5</xdr:col>
      <xdr:colOff>563880</xdr:colOff>
      <xdr:row>18</xdr:row>
      <xdr:rowOff>147320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ED7041-9B70-B741-B29D-7034ADC52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6</xdr:row>
      <xdr:rowOff>196850</xdr:rowOff>
    </xdr:from>
    <xdr:to>
      <xdr:col>4</xdr:col>
      <xdr:colOff>457200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F987E4-717E-8747-85AA-9915F87FA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1073150</xdr:colOff>
      <xdr:row>6</xdr:row>
      <xdr:rowOff>0</xdr:rowOff>
    </xdr:from>
    <xdr:to>
      <xdr:col>9</xdr:col>
      <xdr:colOff>38100</xdr:colOff>
      <xdr:row>23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581513-CB02-7445-A992-9056C3E8F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24</xdr:row>
      <xdr:rowOff>107950</xdr:rowOff>
    </xdr:from>
    <xdr:to>
      <xdr:col>4</xdr:col>
      <xdr:colOff>1155700</xdr:colOff>
      <xdr:row>40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A55BC9-3893-D146-ACE8-E09A3372E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1365250</xdr:colOff>
      <xdr:row>24</xdr:row>
      <xdr:rowOff>44450</xdr:rowOff>
    </xdr:from>
    <xdr:to>
      <xdr:col>9</xdr:col>
      <xdr:colOff>762000</xdr:colOff>
      <xdr:row>41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BC77BA-AD59-9D43-8877-E7C4E054D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806684</xdr:colOff>
      <xdr:row>43</xdr:row>
      <xdr:rowOff>33631</xdr:rowOff>
    </xdr:from>
    <xdr:to>
      <xdr:col>21</xdr:col>
      <xdr:colOff>799630</xdr:colOff>
      <xdr:row>67</xdr:row>
      <xdr:rowOff>152871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4B2391-E2B0-0047-8B73-6C0046777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19050</xdr:rowOff>
    </xdr:from>
    <xdr:to>
      <xdr:col>6</xdr:col>
      <xdr:colOff>533400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36698-C4B5-D04B-8549-BFE623F09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184150</xdr:colOff>
      <xdr:row>0</xdr:row>
      <xdr:rowOff>95250</xdr:rowOff>
    </xdr:from>
    <xdr:to>
      <xdr:col>16</xdr:col>
      <xdr:colOff>114300</xdr:colOff>
      <xdr:row>20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98B22-AD79-CC4C-96D7-950045105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107950</xdr:colOff>
      <xdr:row>20</xdr:row>
      <xdr:rowOff>69850</xdr:rowOff>
    </xdr:from>
    <xdr:to>
      <xdr:col>16</xdr:col>
      <xdr:colOff>431800</xdr:colOff>
      <xdr:row>38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CC037-D2FC-C749-B380-72976B3D8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539750</xdr:colOff>
      <xdr:row>22</xdr:row>
      <xdr:rowOff>31750</xdr:rowOff>
    </xdr:from>
    <xdr:to>
      <xdr:col>28</xdr:col>
      <xdr:colOff>482600</xdr:colOff>
      <xdr:row>45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948D57-8C73-924E-8E9C-A5109809C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@30" TargetMode="External"/><Relationship Id="rId2" Type="http://schemas.openxmlformats.org/officeDocument/2006/relationships/hyperlink" Target="mailto:P@20" TargetMode="External"/><Relationship Id="rId1" Type="http://schemas.openxmlformats.org/officeDocument/2006/relationships/hyperlink" Target="mailto:P@10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@30" TargetMode="External"/><Relationship Id="rId2" Type="http://schemas.openxmlformats.org/officeDocument/2006/relationships/hyperlink" Target="mailto:P@20" TargetMode="External"/><Relationship Id="rId1" Type="http://schemas.openxmlformats.org/officeDocument/2006/relationships/hyperlink" Target="mailto:P@10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@30" TargetMode="External"/><Relationship Id="rId2" Type="http://schemas.openxmlformats.org/officeDocument/2006/relationships/hyperlink" Target="mailto:P@20" TargetMode="External"/><Relationship Id="rId1" Type="http://schemas.openxmlformats.org/officeDocument/2006/relationships/hyperlink" Target="mailto:P@10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@20" TargetMode="External"/><Relationship Id="rId3" Type="http://schemas.openxmlformats.org/officeDocument/2006/relationships/hyperlink" Target="mailto:P@30" TargetMode="External"/><Relationship Id="rId7" Type="http://schemas.openxmlformats.org/officeDocument/2006/relationships/hyperlink" Target="mailto:P@10" TargetMode="External"/><Relationship Id="rId2" Type="http://schemas.openxmlformats.org/officeDocument/2006/relationships/hyperlink" Target="mailto:P@20" TargetMode="External"/><Relationship Id="rId1" Type="http://schemas.openxmlformats.org/officeDocument/2006/relationships/hyperlink" Target="mailto:P@10" TargetMode="External"/><Relationship Id="rId6" Type="http://schemas.openxmlformats.org/officeDocument/2006/relationships/hyperlink" Target="mailto:P@30" TargetMode="External"/><Relationship Id="rId5" Type="http://schemas.openxmlformats.org/officeDocument/2006/relationships/hyperlink" Target="mailto:P@20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mailto:P@10" TargetMode="External"/><Relationship Id="rId9" Type="http://schemas.openxmlformats.org/officeDocument/2006/relationships/hyperlink" Target="mailto:P@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FE4F-6FBE-4842-A326-AB8D77844FCD}">
  <dimension ref="B2:G12"/>
  <sheetViews>
    <sheetView zoomScale="156" workbookViewId="0">
      <selection activeCell="E13" sqref="E13"/>
    </sheetView>
  </sheetViews>
  <sheetFormatPr baseColWidth="10" defaultRowHeight="16" x14ac:dyDescent="0.2"/>
  <sheetData>
    <row r="2" spans="2:7" ht="17" thickBot="1" x14ac:dyDescent="0.25"/>
    <row r="3" spans="2:7" x14ac:dyDescent="0.2">
      <c r="B3" s="31"/>
      <c r="C3" s="25"/>
      <c r="D3" s="35" t="s">
        <v>11</v>
      </c>
      <c r="E3" s="34"/>
      <c r="F3" s="34"/>
      <c r="G3" s="36"/>
    </row>
    <row r="4" spans="2:7" ht="18" thickBot="1" x14ac:dyDescent="0.25">
      <c r="B4" s="32"/>
      <c r="C4" s="26" t="s">
        <v>21</v>
      </c>
      <c r="D4" s="37"/>
      <c r="E4" s="38"/>
      <c r="F4" s="38"/>
      <c r="G4" s="39"/>
    </row>
    <row r="5" spans="2:7" ht="18" thickBot="1" x14ac:dyDescent="0.25">
      <c r="B5" s="32"/>
      <c r="C5" s="26" t="s">
        <v>22</v>
      </c>
      <c r="D5" s="40" t="s">
        <v>23</v>
      </c>
      <c r="E5" s="41"/>
      <c r="F5" s="40" t="s">
        <v>24</v>
      </c>
      <c r="G5" s="41"/>
    </row>
    <row r="6" spans="2:7" ht="17" x14ac:dyDescent="0.2">
      <c r="B6" s="32"/>
      <c r="C6" s="26" t="s">
        <v>12</v>
      </c>
      <c r="D6" s="26" t="s">
        <v>25</v>
      </c>
      <c r="E6" s="26" t="s">
        <v>27</v>
      </c>
      <c r="F6" s="26" t="s">
        <v>25</v>
      </c>
      <c r="G6" s="26" t="s">
        <v>27</v>
      </c>
    </row>
    <row r="7" spans="2:7" ht="18" thickBot="1" x14ac:dyDescent="0.25">
      <c r="B7" s="33"/>
      <c r="C7" s="27"/>
      <c r="D7" s="28" t="s">
        <v>26</v>
      </c>
      <c r="E7" s="28" t="s">
        <v>26</v>
      </c>
      <c r="F7" s="28" t="s">
        <v>26</v>
      </c>
      <c r="G7" s="28" t="s">
        <v>26</v>
      </c>
    </row>
    <row r="8" spans="2:7" ht="18" thickBot="1" x14ac:dyDescent="0.25">
      <c r="B8" s="29" t="s">
        <v>1</v>
      </c>
      <c r="C8" s="30">
        <v>0.4</v>
      </c>
      <c r="D8" s="30">
        <v>0.48499999999999999</v>
      </c>
      <c r="E8" s="30">
        <v>0.495</v>
      </c>
      <c r="F8" s="30">
        <v>0.48</v>
      </c>
      <c r="G8" s="30">
        <v>0.46</v>
      </c>
    </row>
    <row r="9" spans="2:7" ht="18" thickBot="1" x14ac:dyDescent="0.25">
      <c r="B9" s="29" t="s">
        <v>2</v>
      </c>
      <c r="C9" s="30">
        <v>0.36749999999999999</v>
      </c>
      <c r="D9" s="30">
        <v>0.4375</v>
      </c>
      <c r="E9" s="30">
        <v>0.4425</v>
      </c>
      <c r="F9" s="30">
        <v>0.45500000000000002</v>
      </c>
      <c r="G9" s="30">
        <v>0.4425</v>
      </c>
    </row>
    <row r="10" spans="2:7" ht="18" thickBot="1" x14ac:dyDescent="0.25">
      <c r="B10" s="29" t="s">
        <v>3</v>
      </c>
      <c r="C10" s="30">
        <v>0.3417</v>
      </c>
      <c r="D10" s="30">
        <v>0.42670000000000002</v>
      </c>
      <c r="E10" s="30">
        <v>0.435</v>
      </c>
      <c r="F10" s="30">
        <v>0.44</v>
      </c>
      <c r="G10" s="30">
        <v>0.42670000000000002</v>
      </c>
    </row>
    <row r="11" spans="2:7" ht="18" thickBot="1" x14ac:dyDescent="0.25">
      <c r="B11" s="29" t="s">
        <v>4</v>
      </c>
      <c r="C11" s="30">
        <v>0.1071</v>
      </c>
      <c r="D11" s="30">
        <v>0.13350000000000001</v>
      </c>
      <c r="E11" s="30">
        <v>0.1358</v>
      </c>
      <c r="F11" s="30">
        <v>0.13589999999999999</v>
      </c>
      <c r="G11" s="30">
        <v>0.13239999999999999</v>
      </c>
    </row>
    <row r="12" spans="2:7" ht="18" thickBot="1" x14ac:dyDescent="0.25">
      <c r="B12" s="29" t="s">
        <v>13</v>
      </c>
      <c r="C12" s="30" t="s">
        <v>28</v>
      </c>
      <c r="D12" s="42" t="s">
        <v>29</v>
      </c>
      <c r="E12" s="42" t="s">
        <v>30</v>
      </c>
      <c r="F12" s="42" t="s">
        <v>31</v>
      </c>
      <c r="G12" s="42" t="s">
        <v>31</v>
      </c>
    </row>
  </sheetData>
  <mergeCells count="4">
    <mergeCell ref="B3:B7"/>
    <mergeCell ref="D3:G4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456B-859A-3543-B6F7-93FD96F9D046}">
  <dimension ref="A1:AM33"/>
  <sheetViews>
    <sheetView tabSelected="1" zoomScale="109" workbookViewId="0">
      <selection activeCell="P8" sqref="P8:P27"/>
    </sheetView>
  </sheetViews>
  <sheetFormatPr baseColWidth="10" defaultRowHeight="16" x14ac:dyDescent="0.2"/>
  <cols>
    <col min="15" max="15" width="11.1640625" bestFit="1" customWidth="1"/>
    <col min="16" max="16" width="9.83203125" bestFit="1" customWidth="1"/>
    <col min="17" max="17" width="8.1640625" bestFit="1" customWidth="1"/>
    <col min="18" max="18" width="13.1640625" bestFit="1" customWidth="1"/>
    <col min="19" max="19" width="14" bestFit="1" customWidth="1"/>
    <col min="20" max="20" width="8.1640625" bestFit="1" customWidth="1"/>
    <col min="21" max="21" width="13.1640625" bestFit="1" customWidth="1"/>
    <col min="22" max="22" width="14" bestFit="1" customWidth="1"/>
    <col min="23" max="23" width="13.5" bestFit="1" customWidth="1"/>
    <col min="24" max="24" width="8.1640625" bestFit="1" customWidth="1"/>
    <col min="25" max="25" width="13.1640625" bestFit="1" customWidth="1"/>
    <col min="26" max="26" width="14" bestFit="1" customWidth="1"/>
    <col min="27" max="27" width="13.5" bestFit="1" customWidth="1"/>
    <col min="28" max="28" width="8.1640625" bestFit="1" customWidth="1"/>
    <col min="29" max="29" width="13.1640625" bestFit="1" customWidth="1"/>
    <col min="30" max="31" width="13.5" bestFit="1" customWidth="1"/>
    <col min="32" max="32" width="8.1640625" bestFit="1" customWidth="1"/>
    <col min="33" max="33" width="13.1640625" bestFit="1" customWidth="1"/>
    <col min="34" max="35" width="13.5" bestFit="1" customWidth="1"/>
    <col min="36" max="36" width="9.1640625" bestFit="1" customWidth="1"/>
    <col min="37" max="37" width="13.1640625" bestFit="1" customWidth="1"/>
    <col min="38" max="39" width="13.5" bestFit="1" customWidth="1"/>
  </cols>
  <sheetData>
    <row r="1" spans="1:39" x14ac:dyDescent="0.2">
      <c r="A1" t="s">
        <v>0</v>
      </c>
      <c r="B1">
        <v>10</v>
      </c>
      <c r="C1">
        <v>20</v>
      </c>
      <c r="D1">
        <v>30</v>
      </c>
      <c r="E1">
        <v>40</v>
      </c>
      <c r="F1" s="4">
        <v>50</v>
      </c>
      <c r="G1">
        <v>100</v>
      </c>
    </row>
    <row r="2" spans="1:39" x14ac:dyDescent="0.2">
      <c r="A2" s="1" t="s">
        <v>1</v>
      </c>
      <c r="B2" s="2">
        <v>0.46</v>
      </c>
      <c r="C2" s="2">
        <v>0.47</v>
      </c>
      <c r="D2" s="2">
        <v>0.47499999999999998</v>
      </c>
      <c r="E2" s="2">
        <v>0.47499999999999998</v>
      </c>
      <c r="F2" s="5">
        <v>0.47499999999999998</v>
      </c>
      <c r="G2" s="2">
        <v>0.47</v>
      </c>
    </row>
    <row r="3" spans="1:39" x14ac:dyDescent="0.2">
      <c r="A3" s="1" t="s">
        <v>2</v>
      </c>
      <c r="B3" s="2">
        <v>0.4425</v>
      </c>
      <c r="C3" s="2">
        <v>0.44750000000000001</v>
      </c>
      <c r="D3" s="2">
        <v>0.45</v>
      </c>
      <c r="E3" s="2">
        <v>0.45750000000000002</v>
      </c>
      <c r="F3" s="5">
        <v>0.48249999999999998</v>
      </c>
      <c r="G3" s="2">
        <v>0.46500000000000002</v>
      </c>
    </row>
    <row r="4" spans="1:39" x14ac:dyDescent="0.2">
      <c r="A4" s="1" t="s">
        <v>3</v>
      </c>
      <c r="B4" s="2">
        <v>0.42670000000000002</v>
      </c>
      <c r="C4" s="2">
        <v>0.43</v>
      </c>
      <c r="D4" s="2">
        <v>0.435</v>
      </c>
      <c r="E4" s="2">
        <v>0.45829999999999999</v>
      </c>
      <c r="F4" s="5">
        <v>0.48499999999999999</v>
      </c>
      <c r="G4" s="2">
        <v>0.46329999999999999</v>
      </c>
    </row>
    <row r="5" spans="1:39" x14ac:dyDescent="0.2">
      <c r="A5" t="s">
        <v>4</v>
      </c>
      <c r="B5" s="2">
        <v>0.13239999999999999</v>
      </c>
      <c r="C5" s="2">
        <v>0.13450000000000001</v>
      </c>
      <c r="D5" s="2">
        <v>0.13450000000000001</v>
      </c>
      <c r="E5" s="2">
        <v>0.1371</v>
      </c>
      <c r="F5" s="6">
        <v>0.1391</v>
      </c>
      <c r="G5" s="2">
        <v>0.13800000000000001</v>
      </c>
    </row>
    <row r="6" spans="1:39" x14ac:dyDescent="0.2">
      <c r="E6" s="3"/>
    </row>
    <row r="7" spans="1:39" x14ac:dyDescent="0.2">
      <c r="O7" s="11" t="s">
        <v>33</v>
      </c>
      <c r="P7" s="11" t="s">
        <v>12</v>
      </c>
      <c r="Q7" s="11">
        <v>10</v>
      </c>
      <c r="R7" s="11" t="s">
        <v>13</v>
      </c>
      <c r="S7" s="11" t="s">
        <v>34</v>
      </c>
      <c r="T7" s="11">
        <v>20</v>
      </c>
      <c r="U7" s="11" t="s">
        <v>13</v>
      </c>
      <c r="V7" s="11" t="s">
        <v>34</v>
      </c>
      <c r="W7" s="11" t="s">
        <v>35</v>
      </c>
      <c r="X7" s="11">
        <v>30</v>
      </c>
      <c r="Y7" s="11" t="s">
        <v>13</v>
      </c>
      <c r="Z7" s="11" t="s">
        <v>34</v>
      </c>
      <c r="AA7" s="11" t="s">
        <v>35</v>
      </c>
      <c r="AB7" s="11">
        <v>40</v>
      </c>
      <c r="AC7" s="11" t="s">
        <v>13</v>
      </c>
      <c r="AD7" s="11" t="s">
        <v>36</v>
      </c>
      <c r="AE7" s="11" t="s">
        <v>35</v>
      </c>
      <c r="AF7" s="11">
        <v>50</v>
      </c>
      <c r="AG7" s="11" t="s">
        <v>13</v>
      </c>
      <c r="AH7" s="11" t="s">
        <v>37</v>
      </c>
      <c r="AI7" s="11" t="s">
        <v>35</v>
      </c>
      <c r="AJ7" s="11">
        <v>100</v>
      </c>
      <c r="AK7" s="11" t="s">
        <v>13</v>
      </c>
      <c r="AL7" s="11" t="s">
        <v>37</v>
      </c>
      <c r="AM7" s="11" t="s">
        <v>35</v>
      </c>
    </row>
    <row r="8" spans="1:39" x14ac:dyDescent="0.2">
      <c r="O8">
        <v>704</v>
      </c>
      <c r="P8" s="2">
        <v>2.5000000000000001E-3</v>
      </c>
      <c r="Q8" s="2">
        <v>3.32E-2</v>
      </c>
      <c r="R8" t="str">
        <f>IF(Q8&gt;P8, AB$32, AB$33)</f>
        <v>win</v>
      </c>
      <c r="S8">
        <f>(Q8-P8)/Q8*100</f>
        <v>92.46987951807229</v>
      </c>
      <c r="T8" s="2">
        <v>2.5700000000000001E-2</v>
      </c>
      <c r="U8" t="str">
        <f>IF(T8&gt;P8, AB$32, AB$33)</f>
        <v>win</v>
      </c>
      <c r="V8">
        <f>(T8-P8)/T8*100</f>
        <v>90.272373540856037</v>
      </c>
      <c r="W8">
        <f>(T8-Q8)/T8*100</f>
        <v>-29.182879377431902</v>
      </c>
      <c r="X8" s="2">
        <v>5.2499999999999998E-2</v>
      </c>
      <c r="Y8" t="str">
        <f>IF(X8&gt;P8, AB$32, AB$33)</f>
        <v>win</v>
      </c>
      <c r="Z8">
        <f>(X8-P8)/X8*100</f>
        <v>95.238095238095227</v>
      </c>
      <c r="AA8" s="9">
        <f>(X8-T8)/X8*100</f>
        <v>51.047619047619044</v>
      </c>
      <c r="AB8" s="2">
        <v>8.1500000000000003E-2</v>
      </c>
      <c r="AC8" t="str">
        <f>IF(AB8&gt;P8,AB$32,AB$33)</f>
        <v>win</v>
      </c>
      <c r="AD8" s="44">
        <f>(AB8-P8)/AB8*100</f>
        <v>96.932515337423311</v>
      </c>
      <c r="AE8" s="9">
        <f>(AB8-X8)/AB8*100</f>
        <v>35.582822085889575</v>
      </c>
      <c r="AF8" s="2">
        <v>0.112</v>
      </c>
      <c r="AG8" t="str">
        <f>IF(AF8&gt;P8, AB$32, AB$33)</f>
        <v>win</v>
      </c>
      <c r="AH8" s="44">
        <f>(AF8-P8)/AF8*100</f>
        <v>97.767857142857139</v>
      </c>
      <c r="AI8" s="9">
        <f>(AF8-AB8)/AF8*100</f>
        <v>27.232142857142854</v>
      </c>
      <c r="AJ8" s="2">
        <v>8.2600000000000007E-2</v>
      </c>
      <c r="AK8" t="str">
        <f>IF(AJ8&gt;P8, AB$32, AB$33)</f>
        <v>win</v>
      </c>
      <c r="AL8">
        <f>(AJ8-P8)/AJ8*100</f>
        <v>96.973365617433416</v>
      </c>
      <c r="AM8">
        <f>(AJ8-AF8)/AJ8*100</f>
        <v>-35.593220338983045</v>
      </c>
    </row>
    <row r="9" spans="1:39" x14ac:dyDescent="0.2">
      <c r="O9">
        <v>706</v>
      </c>
      <c r="P9" s="2">
        <v>3.3999999999999998E-3</v>
      </c>
      <c r="Q9" s="2">
        <v>4.53E-2</v>
      </c>
      <c r="R9" t="str">
        <f>IF(Q9&gt;P9, AB$32, AB$33)</f>
        <v>win</v>
      </c>
      <c r="S9">
        <f t="shared" ref="S9:S27" si="0">(Q9-P9)/Q9*100</f>
        <v>92.494481236203086</v>
      </c>
      <c r="T9" s="2">
        <v>4.8000000000000001E-2</v>
      </c>
      <c r="U9" t="str">
        <f>IF(T9&gt;P9, AB$32, AB$33)</f>
        <v>win</v>
      </c>
      <c r="V9">
        <f t="shared" ref="V9:V27" si="1">(T9-P9)/T9*100</f>
        <v>92.916666666666671</v>
      </c>
      <c r="W9">
        <f t="shared" ref="W9:W27" si="2">(T9-Q9)/T9*100</f>
        <v>5.6250000000000018</v>
      </c>
      <c r="X9" s="2">
        <v>4.53E-2</v>
      </c>
      <c r="Y9" t="str">
        <f>IF(X9&gt;P9, AB$32, AB$33)</f>
        <v>win</v>
      </c>
      <c r="Z9">
        <f t="shared" ref="Z9:Z27" si="3">(X9-P9)/X9*100</f>
        <v>92.494481236203086</v>
      </c>
      <c r="AA9">
        <f t="shared" ref="AA9:AA27" si="4">(X9-T9)/X9*100</f>
        <v>-5.9602649006622537</v>
      </c>
      <c r="AB9" s="2">
        <v>4.5900000000000003E-2</v>
      </c>
      <c r="AC9" t="str">
        <f>IF(AB9&gt;P9,AB$32,AB$33)</f>
        <v>win</v>
      </c>
      <c r="AD9" s="44">
        <f t="shared" ref="AD9:AD27" si="5">(AB9-P9)/AB9*100</f>
        <v>92.592592592592595</v>
      </c>
      <c r="AE9">
        <f t="shared" ref="AE9:AE27" si="6">(AB9-X9)/AB9*100</f>
        <v>1.3071895424836673</v>
      </c>
      <c r="AF9" s="2">
        <v>4.7699999999999999E-2</v>
      </c>
      <c r="AG9" t="str">
        <f>IF(AF9&gt;P9, AB$32, AB$33)</f>
        <v>win</v>
      </c>
      <c r="AH9" s="44">
        <f t="shared" ref="AH9:AH27" si="7">(AF9-P9)/AF9*100</f>
        <v>92.872117400419285</v>
      </c>
      <c r="AI9">
        <f t="shared" ref="AI9:AI27" si="8">(AF9-AB9)/AF9*100</f>
        <v>3.773584905660369</v>
      </c>
      <c r="AJ9" s="2">
        <v>6.7900000000000002E-2</v>
      </c>
      <c r="AK9" t="str">
        <f>IF(AJ9&gt;P9, AB$32, AB$33)</f>
        <v>win</v>
      </c>
      <c r="AL9">
        <f t="shared" ref="AL9:AL27" si="9">(AJ9-P9)/AJ9*100</f>
        <v>94.992636229749621</v>
      </c>
      <c r="AM9">
        <f t="shared" ref="AM9:AM27" si="10">(AJ9-AF9)/AJ9*100</f>
        <v>29.749631811487486</v>
      </c>
    </row>
    <row r="10" spans="1:39" x14ac:dyDescent="0.2">
      <c r="O10">
        <v>709</v>
      </c>
      <c r="P10" s="2">
        <v>0.32379999999999998</v>
      </c>
      <c r="Q10" s="2">
        <v>0.2732</v>
      </c>
      <c r="R10" t="str">
        <f>IF(Q10&gt;P10, AB$32, AB$33)</f>
        <v>loss</v>
      </c>
      <c r="S10">
        <f t="shared" si="0"/>
        <v>-18.521229868228396</v>
      </c>
      <c r="T10" s="2">
        <v>0.2712</v>
      </c>
      <c r="U10" t="str">
        <f>IF(T10&gt;P10, AB$32, AB$33)</f>
        <v>loss</v>
      </c>
      <c r="V10">
        <f t="shared" si="1"/>
        <v>-19.395280235988192</v>
      </c>
      <c r="W10">
        <f t="shared" si="2"/>
        <v>-0.73746312684365845</v>
      </c>
      <c r="X10" s="2">
        <v>0.27210000000000001</v>
      </c>
      <c r="Y10" t="str">
        <f>IF(X10&gt;P10, AB$32, AB$33)</f>
        <v>loss</v>
      </c>
      <c r="Z10">
        <f t="shared" si="3"/>
        <v>-19.000367511944123</v>
      </c>
      <c r="AA10">
        <f t="shared" si="4"/>
        <v>0.33076074972437036</v>
      </c>
      <c r="AB10" s="2">
        <v>0.27039999999999997</v>
      </c>
      <c r="AC10" t="str">
        <f>IF(AB10&gt;P10,AB$32,AB$33)</f>
        <v>loss</v>
      </c>
      <c r="AD10" s="44">
        <f t="shared" si="5"/>
        <v>-19.748520710059175</v>
      </c>
      <c r="AE10">
        <f t="shared" si="6"/>
        <v>-0.62869822485208393</v>
      </c>
      <c r="AF10" s="2">
        <v>0.26979999999999998</v>
      </c>
      <c r="AG10" t="str">
        <f>IF(AF10&gt;P10, AB$32, AB$33)</f>
        <v>loss</v>
      </c>
      <c r="AH10" s="44">
        <f t="shared" si="7"/>
        <v>-20.014825796886583</v>
      </c>
      <c r="AI10">
        <f t="shared" si="8"/>
        <v>-0.2223869532987359</v>
      </c>
      <c r="AJ10" s="2">
        <v>0.26390000000000002</v>
      </c>
      <c r="AK10" t="str">
        <f>IF(AJ10&gt;P10, AB$32, AB$33)</f>
        <v>loss</v>
      </c>
      <c r="AL10">
        <f t="shared" si="9"/>
        <v>-22.697991663508883</v>
      </c>
      <c r="AM10">
        <f t="shared" si="10"/>
        <v>-2.2356953391436001</v>
      </c>
    </row>
    <row r="11" spans="1:39" x14ac:dyDescent="0.2">
      <c r="O11">
        <v>714</v>
      </c>
      <c r="P11" s="2">
        <v>2.06E-2</v>
      </c>
      <c r="Q11" s="2">
        <v>8.0999999999999996E-3</v>
      </c>
      <c r="R11" t="str">
        <f>IF(Q11&gt;P11, AB$32, AB$33)</f>
        <v>loss</v>
      </c>
      <c r="S11">
        <f t="shared" si="0"/>
        <v>-154.32098765432102</v>
      </c>
      <c r="T11" s="2">
        <v>7.7000000000000002E-3</v>
      </c>
      <c r="U11" t="str">
        <f>IF(T11&gt;P11, AB$32, AB$33)</f>
        <v>loss</v>
      </c>
      <c r="V11">
        <f t="shared" si="1"/>
        <v>-167.53246753246754</v>
      </c>
      <c r="W11">
        <f t="shared" si="2"/>
        <v>-5.1948051948051859</v>
      </c>
      <c r="X11" s="2">
        <v>1.0699999999999999E-2</v>
      </c>
      <c r="Y11" t="str">
        <f>IF(X11&gt;P11, AB$32, AB$33)</f>
        <v>loss</v>
      </c>
      <c r="Z11">
        <f t="shared" si="3"/>
        <v>-92.523364485981318</v>
      </c>
      <c r="AA11">
        <f t="shared" si="4"/>
        <v>28.037383177570085</v>
      </c>
      <c r="AB11" s="2">
        <v>7.9000000000000008E-3</v>
      </c>
      <c r="AC11" t="str">
        <f>IF(AB11&gt;P11,AB$32,AB$33)</f>
        <v>loss</v>
      </c>
      <c r="AD11" s="44">
        <f t="shared" si="5"/>
        <v>-160.75949367088606</v>
      </c>
      <c r="AE11">
        <f t="shared" si="6"/>
        <v>-35.44303797468352</v>
      </c>
      <c r="AF11" s="2">
        <v>1.15E-2</v>
      </c>
      <c r="AG11" t="str">
        <f>IF(AF11&gt;P11, AB$32, AB$33)</f>
        <v>loss</v>
      </c>
      <c r="AH11" s="44">
        <f t="shared" si="7"/>
        <v>-79.130434782608702</v>
      </c>
      <c r="AI11">
        <f t="shared" si="8"/>
        <v>31.304347826086946</v>
      </c>
      <c r="AJ11" s="2">
        <v>1.0200000000000001E-2</v>
      </c>
      <c r="AK11" t="str">
        <f>IF(AJ11&gt;P11, AB$32, AB$33)</f>
        <v>loss</v>
      </c>
      <c r="AL11">
        <f t="shared" si="9"/>
        <v>-101.96078431372548</v>
      </c>
      <c r="AM11">
        <f t="shared" si="10"/>
        <v>-12.745098039215677</v>
      </c>
    </row>
    <row r="12" spans="1:39" x14ac:dyDescent="0.2">
      <c r="O12">
        <v>716</v>
      </c>
      <c r="P12" s="2">
        <v>2.7000000000000001E-3</v>
      </c>
      <c r="Q12" s="2">
        <v>3.2500000000000001E-2</v>
      </c>
      <c r="R12" t="str">
        <f>IF(Q12&gt;P12, AB$32, AB$33)</f>
        <v>win</v>
      </c>
      <c r="S12">
        <f t="shared" si="0"/>
        <v>91.692307692307679</v>
      </c>
      <c r="T12" s="2">
        <v>2.2599999999999999E-2</v>
      </c>
      <c r="U12" t="str">
        <f>IF(T12&gt;P12, AB$32, AB$33)</f>
        <v>win</v>
      </c>
      <c r="V12">
        <f t="shared" si="1"/>
        <v>88.053097345132741</v>
      </c>
      <c r="W12">
        <f t="shared" si="2"/>
        <v>-43.805309734513287</v>
      </c>
      <c r="X12" s="2">
        <v>2.0799999999999999E-2</v>
      </c>
      <c r="Y12" t="str">
        <f>IF(X12&gt;P12, AB$32, AB$33)</f>
        <v>win</v>
      </c>
      <c r="Z12">
        <f t="shared" si="3"/>
        <v>87.019230769230759</v>
      </c>
      <c r="AA12">
        <f t="shared" si="4"/>
        <v>-8.6538461538461515</v>
      </c>
      <c r="AB12" s="2">
        <v>2.0400000000000001E-2</v>
      </c>
      <c r="AC12" t="str">
        <f>IF(AB12&gt;P12,AB$32,AB$33)</f>
        <v>win</v>
      </c>
      <c r="AD12" s="44">
        <f t="shared" si="5"/>
        <v>86.764705882352928</v>
      </c>
      <c r="AE12">
        <f t="shared" si="6"/>
        <v>-1.9607843137254781</v>
      </c>
      <c r="AF12" s="2">
        <v>1.9E-2</v>
      </c>
      <c r="AG12" t="str">
        <f>IF(AF12&gt;P12, AB$32, AB$33)</f>
        <v>win</v>
      </c>
      <c r="AH12" s="44">
        <f t="shared" si="7"/>
        <v>85.78947368421052</v>
      </c>
      <c r="AI12">
        <f t="shared" si="8"/>
        <v>-7.3684210526315894</v>
      </c>
      <c r="AJ12" s="2">
        <v>0.02</v>
      </c>
      <c r="AK12" t="str">
        <f>IF(AJ12&gt;P12, AB$32, AB$33)</f>
        <v>win</v>
      </c>
      <c r="AL12">
        <f t="shared" si="9"/>
        <v>86.5</v>
      </c>
      <c r="AM12">
        <f t="shared" si="10"/>
        <v>5.0000000000000044</v>
      </c>
    </row>
    <row r="13" spans="1:39" x14ac:dyDescent="0.2">
      <c r="O13">
        <v>717</v>
      </c>
      <c r="P13" s="2">
        <v>5.5E-2</v>
      </c>
      <c r="Q13" s="2">
        <v>6.1400000000000003E-2</v>
      </c>
      <c r="R13" t="str">
        <f>IF(Q13&gt;P13, AB$32, AB$33)</f>
        <v>win</v>
      </c>
      <c r="S13">
        <f t="shared" si="0"/>
        <v>10.423452768729646</v>
      </c>
      <c r="T13" s="2">
        <v>5.7799999999999997E-2</v>
      </c>
      <c r="U13" t="str">
        <f>IF(T13&gt;P13, AB$32, AB$33)</f>
        <v>win</v>
      </c>
      <c r="V13">
        <f t="shared" si="1"/>
        <v>4.8442906574394415</v>
      </c>
      <c r="W13">
        <f t="shared" si="2"/>
        <v>-6.2283737024221564</v>
      </c>
      <c r="X13" s="2">
        <v>5.8400000000000001E-2</v>
      </c>
      <c r="Y13" t="str">
        <f>IF(X13&gt;P13, AB$32, AB$33)</f>
        <v>win</v>
      </c>
      <c r="Z13">
        <f t="shared" si="3"/>
        <v>5.8219178082191787</v>
      </c>
      <c r="AA13">
        <f t="shared" si="4"/>
        <v>1.0273972602739783</v>
      </c>
      <c r="AB13" s="2">
        <v>5.8299999999999998E-2</v>
      </c>
      <c r="AC13" t="str">
        <f>IF(AB13&gt;P13,AB$32,AB$33)</f>
        <v>win</v>
      </c>
      <c r="AD13" s="44">
        <f t="shared" si="5"/>
        <v>5.6603773584905621</v>
      </c>
      <c r="AE13">
        <f t="shared" si="6"/>
        <v>-0.17152658662093118</v>
      </c>
      <c r="AF13" s="2">
        <v>6.7500000000000004E-2</v>
      </c>
      <c r="AG13" t="str">
        <f>IF(AF13&gt;P13, AB$32, AB$33)</f>
        <v>win</v>
      </c>
      <c r="AH13" s="44">
        <f t="shared" si="7"/>
        <v>18.518518518518523</v>
      </c>
      <c r="AI13">
        <f t="shared" si="8"/>
        <v>13.629629629629639</v>
      </c>
      <c r="AJ13" s="2">
        <v>6.5600000000000006E-2</v>
      </c>
      <c r="AK13" t="str">
        <f>IF(AJ13&gt;P13, AB$32, AB$33)</f>
        <v>win</v>
      </c>
      <c r="AL13">
        <f t="shared" si="9"/>
        <v>16.158536585365859</v>
      </c>
      <c r="AM13">
        <f t="shared" si="10"/>
        <v>-2.8963414634146321</v>
      </c>
    </row>
    <row r="14" spans="1:39" x14ac:dyDescent="0.2">
      <c r="O14" s="9">
        <v>721</v>
      </c>
      <c r="P14" s="43">
        <v>6.1000000000000004E-3</v>
      </c>
      <c r="Q14" s="2">
        <v>3.4700000000000002E-2</v>
      </c>
      <c r="R14" t="str">
        <f>IF(Q14&gt;P14, AB$32, AB$33)</f>
        <v>win</v>
      </c>
      <c r="S14">
        <f t="shared" si="0"/>
        <v>82.42074927953891</v>
      </c>
      <c r="T14" s="2">
        <v>5.5899999999999998E-2</v>
      </c>
      <c r="U14" t="str">
        <f>IF(T14&gt;P14, AB$32, AB$33)</f>
        <v>win</v>
      </c>
      <c r="V14">
        <f t="shared" si="1"/>
        <v>89.087656529516991</v>
      </c>
      <c r="W14">
        <f t="shared" si="2"/>
        <v>37.924865831842567</v>
      </c>
      <c r="X14" s="2">
        <v>4.2500000000000003E-2</v>
      </c>
      <c r="Y14" t="str">
        <f>IF(X14&gt;P14, AB$32, AB$33)</f>
        <v>win</v>
      </c>
      <c r="Z14">
        <f t="shared" si="3"/>
        <v>85.647058823529406</v>
      </c>
      <c r="AA14">
        <f t="shared" si="4"/>
        <v>-31.529411764705866</v>
      </c>
      <c r="AB14" s="2">
        <v>4.41E-2</v>
      </c>
      <c r="AC14" t="str">
        <f>IF(AB14&gt;P14,AB$32,AB$33)</f>
        <v>win</v>
      </c>
      <c r="AD14" s="44">
        <f t="shared" si="5"/>
        <v>86.167800453514729</v>
      </c>
      <c r="AE14">
        <f t="shared" si="6"/>
        <v>3.6281179138321935</v>
      </c>
      <c r="AF14" s="2">
        <v>5.0999999999999997E-2</v>
      </c>
      <c r="AG14" t="str">
        <f>IF(AF14&gt;P14, AB$32, AB$33)</f>
        <v>win</v>
      </c>
      <c r="AH14" s="44">
        <f t="shared" si="7"/>
        <v>88.039215686274503</v>
      </c>
      <c r="AI14">
        <f t="shared" si="8"/>
        <v>13.529411764705875</v>
      </c>
      <c r="AJ14" s="2">
        <v>4.3099999999999999E-2</v>
      </c>
      <c r="AK14" t="str">
        <f>IF(AJ14&gt;P14, AB$32, AB$33)</f>
        <v>win</v>
      </c>
      <c r="AL14">
        <f t="shared" si="9"/>
        <v>85.846867749419957</v>
      </c>
      <c r="AM14">
        <f t="shared" si="10"/>
        <v>-18.329466357308579</v>
      </c>
    </row>
    <row r="15" spans="1:39" x14ac:dyDescent="0.2">
      <c r="O15">
        <v>724</v>
      </c>
      <c r="P15" s="2">
        <v>0.2641</v>
      </c>
      <c r="Q15" s="2">
        <v>0.11899999999999999</v>
      </c>
      <c r="R15" t="str">
        <f>IF(Q15&gt;P15, AB$32, AB$33)</f>
        <v>loss</v>
      </c>
      <c r="S15">
        <f t="shared" si="0"/>
        <v>-121.93277310924371</v>
      </c>
      <c r="T15" s="2">
        <v>0.113</v>
      </c>
      <c r="U15" t="str">
        <f>IF(T15&gt;P15, AB$32, AB$33)</f>
        <v>loss</v>
      </c>
      <c r="V15">
        <f t="shared" si="1"/>
        <v>-133.71681415929203</v>
      </c>
      <c r="W15">
        <f t="shared" si="2"/>
        <v>-5.3097345132743285</v>
      </c>
      <c r="X15" s="2">
        <v>0.13550000000000001</v>
      </c>
      <c r="Y15" t="str">
        <f>IF(X15&gt;P15, AB$32, AB$33)</f>
        <v>loss</v>
      </c>
      <c r="Z15">
        <f t="shared" si="3"/>
        <v>-94.907749077490763</v>
      </c>
      <c r="AA15">
        <f t="shared" si="4"/>
        <v>16.605166051660518</v>
      </c>
      <c r="AB15" s="2">
        <v>0.1203</v>
      </c>
      <c r="AC15" t="str">
        <f>IF(AB15&gt;P15,AB$32,AB$33)</f>
        <v>loss</v>
      </c>
      <c r="AD15" s="44">
        <f t="shared" si="5"/>
        <v>-119.53449709060679</v>
      </c>
      <c r="AE15">
        <f t="shared" si="6"/>
        <v>-12.635078969243562</v>
      </c>
      <c r="AF15" s="2">
        <v>0.1222</v>
      </c>
      <c r="AG15" t="str">
        <f>IF(AF15&gt;P15, AB$32, AB$33)</f>
        <v>loss</v>
      </c>
      <c r="AH15" s="44">
        <f t="shared" si="7"/>
        <v>-116.12111292962356</v>
      </c>
      <c r="AI15">
        <f t="shared" si="8"/>
        <v>1.5548281505728305</v>
      </c>
      <c r="AJ15" s="2">
        <v>0.1331</v>
      </c>
      <c r="AK15" t="str">
        <f>IF(AJ15&gt;P15, AB$32, AB$33)</f>
        <v>loss</v>
      </c>
      <c r="AL15">
        <f t="shared" si="9"/>
        <v>-98.4222389181067</v>
      </c>
      <c r="AM15">
        <f t="shared" si="10"/>
        <v>8.1893313298271924</v>
      </c>
    </row>
    <row r="16" spans="1:39" x14ac:dyDescent="0.2">
      <c r="O16">
        <v>725</v>
      </c>
      <c r="P16" s="2">
        <v>2.0799999999999999E-2</v>
      </c>
      <c r="Q16" s="2">
        <v>7.7200000000000005E-2</v>
      </c>
      <c r="R16" t="str">
        <f>IF(Q16&gt;P16, AB$32, AB$33)</f>
        <v>win</v>
      </c>
      <c r="S16">
        <f t="shared" si="0"/>
        <v>73.056994818652853</v>
      </c>
      <c r="T16" s="2">
        <v>7.6999999999999999E-2</v>
      </c>
      <c r="U16" t="str">
        <f>IF(T16&gt;P16, AB$32, AB$33)</f>
        <v>win</v>
      </c>
      <c r="V16">
        <f t="shared" si="1"/>
        <v>72.987012987012989</v>
      </c>
      <c r="W16">
        <f t="shared" si="2"/>
        <v>-0.25974025974026721</v>
      </c>
      <c r="X16" s="2">
        <v>7.6899999999999996E-2</v>
      </c>
      <c r="Y16" t="str">
        <f>IF(X16&gt;P16, AB$32, AB$33)</f>
        <v>win</v>
      </c>
      <c r="Z16">
        <f t="shared" si="3"/>
        <v>72.951885565669699</v>
      </c>
      <c r="AA16">
        <f t="shared" si="4"/>
        <v>-0.13003901170351478</v>
      </c>
      <c r="AB16" s="2">
        <v>8.1900000000000001E-2</v>
      </c>
      <c r="AC16" t="str">
        <f>IF(AB16&gt;P16,AB$32,AB$33)</f>
        <v>win</v>
      </c>
      <c r="AD16" s="44">
        <f t="shared" si="5"/>
        <v>74.603174603174608</v>
      </c>
      <c r="AE16">
        <f t="shared" si="6"/>
        <v>6.10500610500611</v>
      </c>
      <c r="AF16" s="2">
        <v>8.14E-2</v>
      </c>
      <c r="AG16" t="str">
        <f>IF(AF16&gt;P16, AB$32, AB$33)</f>
        <v>win</v>
      </c>
      <c r="AH16" s="44">
        <f t="shared" si="7"/>
        <v>74.447174447174447</v>
      </c>
      <c r="AI16">
        <f t="shared" si="8"/>
        <v>-0.61425061425061478</v>
      </c>
      <c r="AJ16" s="2">
        <v>8.4199999999999997E-2</v>
      </c>
      <c r="AK16" t="str">
        <f>IF(AJ16&gt;P16, AB$32, AB$33)</f>
        <v>win</v>
      </c>
      <c r="AL16">
        <f t="shared" si="9"/>
        <v>75.296912114014248</v>
      </c>
      <c r="AM16">
        <f t="shared" si="10"/>
        <v>3.3254156769596164</v>
      </c>
    </row>
    <row r="17" spans="15:39" x14ac:dyDescent="0.2">
      <c r="O17">
        <v>729</v>
      </c>
      <c r="P17" s="2">
        <v>0</v>
      </c>
      <c r="Q17" s="2">
        <v>4.1999999999999997E-3</v>
      </c>
      <c r="R17" t="str">
        <f>IF(Q17&gt;P17, AB$32, AB$33)</f>
        <v>win</v>
      </c>
      <c r="S17">
        <f t="shared" si="0"/>
        <v>100</v>
      </c>
      <c r="T17" s="2">
        <v>3.7000000000000002E-3</v>
      </c>
      <c r="U17" t="str">
        <f>IF(T17&gt;P17, AB$32, AB$33)</f>
        <v>win</v>
      </c>
      <c r="V17">
        <f t="shared" si="1"/>
        <v>100</v>
      </c>
      <c r="W17">
        <f t="shared" si="2"/>
        <v>-13.5135135135135</v>
      </c>
      <c r="X17" s="2">
        <v>3.0000000000000001E-3</v>
      </c>
      <c r="Y17" t="str">
        <f>IF(X17&gt;P17, AB$32, AB$33)</f>
        <v>win</v>
      </c>
      <c r="Z17">
        <f t="shared" si="3"/>
        <v>100</v>
      </c>
      <c r="AA17">
        <f t="shared" si="4"/>
        <v>-23.333333333333336</v>
      </c>
      <c r="AB17" s="2">
        <v>3.0000000000000001E-3</v>
      </c>
      <c r="AC17" t="str">
        <f>IF(AB17&gt;P17,AB$32,AB$33)</f>
        <v>win</v>
      </c>
      <c r="AD17" s="44">
        <f t="shared" si="5"/>
        <v>100</v>
      </c>
      <c r="AE17">
        <f t="shared" si="6"/>
        <v>0</v>
      </c>
      <c r="AF17" s="2">
        <v>2.8E-3</v>
      </c>
      <c r="AG17" t="str">
        <f>IF(AF17&gt;P17, AB$32, AB$33)</f>
        <v>win</v>
      </c>
      <c r="AH17" s="44">
        <f t="shared" si="7"/>
        <v>100</v>
      </c>
      <c r="AI17">
        <f t="shared" si="8"/>
        <v>-7.1428571428571468</v>
      </c>
      <c r="AJ17" s="2">
        <v>4.0000000000000001E-3</v>
      </c>
      <c r="AK17" t="str">
        <f>IF(AJ17&gt;P17, AB$32, AB$33)</f>
        <v>win</v>
      </c>
      <c r="AL17">
        <f t="shared" si="9"/>
        <v>100</v>
      </c>
      <c r="AM17">
        <f t="shared" si="10"/>
        <v>30.000000000000004</v>
      </c>
    </row>
    <row r="18" spans="15:39" x14ac:dyDescent="0.2">
      <c r="O18">
        <v>735</v>
      </c>
      <c r="P18" s="2">
        <v>3.0999999999999999E-3</v>
      </c>
      <c r="Q18" s="2">
        <v>7.4999999999999997E-2</v>
      </c>
      <c r="R18" t="str">
        <f>IF(Q18&gt;P18, AB$32, AB$33)</f>
        <v>win</v>
      </c>
      <c r="S18">
        <f t="shared" si="0"/>
        <v>95.86666666666666</v>
      </c>
      <c r="T18" s="2">
        <v>7.4399999999999994E-2</v>
      </c>
      <c r="U18" t="str">
        <f>IF(T18&gt;P18, AB$32, AB$33)</f>
        <v>win</v>
      </c>
      <c r="V18">
        <f t="shared" si="1"/>
        <v>95.833333333333329</v>
      </c>
      <c r="W18">
        <f t="shared" si="2"/>
        <v>-0.80645161290323031</v>
      </c>
      <c r="X18" s="2">
        <v>6.9400000000000003E-2</v>
      </c>
      <c r="Y18" t="str">
        <f>IF(X18&gt;P18, AB$32, AB$33)</f>
        <v>win</v>
      </c>
      <c r="Z18">
        <f t="shared" si="3"/>
        <v>95.533141210374623</v>
      </c>
      <c r="AA18">
        <f t="shared" si="4"/>
        <v>-7.2046109510086316</v>
      </c>
      <c r="AB18" s="2">
        <v>7.3899999999999993E-2</v>
      </c>
      <c r="AC18" t="str">
        <f>IF(AB18&gt;P18,AB$32,AB$33)</f>
        <v>win</v>
      </c>
      <c r="AD18" s="44">
        <f t="shared" si="5"/>
        <v>95.805142083897152</v>
      </c>
      <c r="AE18" s="9">
        <f t="shared" si="6"/>
        <v>6.0893098782137898</v>
      </c>
      <c r="AF18" s="2">
        <v>7.4700000000000003E-2</v>
      </c>
      <c r="AG18" t="str">
        <f>IF(AF18&gt;P18, AB$32, AB$33)</f>
        <v>win</v>
      </c>
      <c r="AH18" s="44">
        <f t="shared" si="7"/>
        <v>95.850066934404282</v>
      </c>
      <c r="AI18">
        <f t="shared" si="8"/>
        <v>1.0709504685408422</v>
      </c>
      <c r="AJ18" s="2">
        <v>7.9399999999999998E-2</v>
      </c>
      <c r="AK18" t="str">
        <f>IF(AJ18&gt;P18, AB$32, AB$33)</f>
        <v>win</v>
      </c>
      <c r="AL18">
        <f t="shared" si="9"/>
        <v>96.095717884130977</v>
      </c>
      <c r="AM18">
        <f t="shared" si="10"/>
        <v>5.919395465994957</v>
      </c>
    </row>
    <row r="19" spans="15:39" x14ac:dyDescent="0.2">
      <c r="O19">
        <v>736</v>
      </c>
      <c r="P19" s="2">
        <v>6.8500000000000005E-2</v>
      </c>
      <c r="Q19" s="2">
        <v>0.1159</v>
      </c>
      <c r="R19" t="str">
        <f>IF(Q19&gt;P19, AB$32, AB$33)</f>
        <v>win</v>
      </c>
      <c r="S19">
        <f t="shared" si="0"/>
        <v>40.897325280414151</v>
      </c>
      <c r="T19" s="2">
        <v>0.1191</v>
      </c>
      <c r="U19" t="str">
        <f>IF(T19&gt;P19, AB$32, AB$33)</f>
        <v>win</v>
      </c>
      <c r="V19">
        <f t="shared" si="1"/>
        <v>42.485306465155325</v>
      </c>
      <c r="W19">
        <f t="shared" si="2"/>
        <v>2.6868178001679217</v>
      </c>
      <c r="X19" s="2">
        <v>0.12429999999999999</v>
      </c>
      <c r="Y19" t="str">
        <f>IF(X19&gt;P19, AB$32, AB$33)</f>
        <v>win</v>
      </c>
      <c r="Z19">
        <f t="shared" si="3"/>
        <v>44.891391794046655</v>
      </c>
      <c r="AA19">
        <f t="shared" si="4"/>
        <v>4.1834271922767474</v>
      </c>
      <c r="AB19" s="2">
        <v>0.1411</v>
      </c>
      <c r="AC19" t="str">
        <f>IF(AB19&gt;P19,AB$32,AB$33)</f>
        <v>win</v>
      </c>
      <c r="AD19" s="44">
        <f t="shared" si="5"/>
        <v>51.452870304748402</v>
      </c>
      <c r="AE19">
        <f t="shared" si="6"/>
        <v>11.906449326718645</v>
      </c>
      <c r="AF19" s="2">
        <v>0.15409999999999999</v>
      </c>
      <c r="AG19" t="str">
        <f>IF(AF19&gt;P19, AB$32, AB$33)</f>
        <v>win</v>
      </c>
      <c r="AH19">
        <f t="shared" si="7"/>
        <v>55.548345230369875</v>
      </c>
      <c r="AI19">
        <f t="shared" si="8"/>
        <v>8.436080467229063</v>
      </c>
      <c r="AJ19" s="2">
        <v>0.17460000000000001</v>
      </c>
      <c r="AK19" t="str">
        <f>IF(AJ19&gt;P19, AB$32, AB$33)</f>
        <v>win</v>
      </c>
      <c r="AL19">
        <f t="shared" si="9"/>
        <v>60.76746849942726</v>
      </c>
      <c r="AM19">
        <f t="shared" si="10"/>
        <v>11.741122565864844</v>
      </c>
    </row>
    <row r="20" spans="15:39" x14ac:dyDescent="0.2">
      <c r="O20">
        <v>738</v>
      </c>
      <c r="P20" s="2">
        <v>0.32050000000000001</v>
      </c>
      <c r="Q20" s="2">
        <v>0.28510000000000002</v>
      </c>
      <c r="R20" t="str">
        <f>IF(Q20&gt;P20, AB$32, AB$33)</f>
        <v>loss</v>
      </c>
      <c r="S20">
        <f t="shared" si="0"/>
        <v>-12.416695896176774</v>
      </c>
      <c r="T20" s="2">
        <v>0.27600000000000002</v>
      </c>
      <c r="U20" t="str">
        <f>IF(T20&gt;P20, AB$32, AB$33)</f>
        <v>loss</v>
      </c>
      <c r="V20">
        <f t="shared" si="1"/>
        <v>-16.123188405797094</v>
      </c>
      <c r="W20">
        <f t="shared" si="2"/>
        <v>-3.297101449275361</v>
      </c>
      <c r="X20" s="2">
        <v>0.26840000000000003</v>
      </c>
      <c r="Y20" t="str">
        <f>IF(X20&gt;P20, AB$32, AB$33)</f>
        <v>loss</v>
      </c>
      <c r="Z20">
        <f t="shared" si="3"/>
        <v>-19.411326378539485</v>
      </c>
      <c r="AA20">
        <f t="shared" si="4"/>
        <v>-2.8315946348733214</v>
      </c>
      <c r="AB20" s="2">
        <v>0.2641</v>
      </c>
      <c r="AC20" t="str">
        <f>IF(AB20&gt;P20,AB$32,AB$33)</f>
        <v>loss</v>
      </c>
      <c r="AD20">
        <f t="shared" si="5"/>
        <v>-21.355547141234382</v>
      </c>
      <c r="AE20">
        <f t="shared" si="6"/>
        <v>-1.6281711472927021</v>
      </c>
      <c r="AF20" s="2">
        <v>0.26019999999999999</v>
      </c>
      <c r="AG20" t="str">
        <f>IF(AF20&gt;P20, AB$32, AB$33)</f>
        <v>loss</v>
      </c>
      <c r="AH20">
        <f t="shared" si="7"/>
        <v>-23.174481168332061</v>
      </c>
      <c r="AI20">
        <f t="shared" si="8"/>
        <v>-1.4988470407378995</v>
      </c>
      <c r="AJ20" s="2">
        <v>0.24779999999999999</v>
      </c>
      <c r="AK20" t="str">
        <f>IF(AJ20&gt;P20, AB$32, AB$33)</f>
        <v>loss</v>
      </c>
      <c r="AL20">
        <f t="shared" si="9"/>
        <v>-29.338175948345445</v>
      </c>
      <c r="AM20">
        <f t="shared" si="10"/>
        <v>-5.0040355125100868</v>
      </c>
    </row>
    <row r="21" spans="15:39" x14ac:dyDescent="0.2">
      <c r="O21">
        <v>741</v>
      </c>
      <c r="P21" s="2">
        <v>1.9800000000000002E-2</v>
      </c>
      <c r="Q21" s="2">
        <v>1.1000000000000001E-3</v>
      </c>
      <c r="R21" t="str">
        <f>IF(Q21&gt;P21, AB$32, AB$33)</f>
        <v>loss</v>
      </c>
      <c r="S21">
        <f t="shared" si="0"/>
        <v>-1700</v>
      </c>
      <c r="T21" s="2">
        <v>2.5999999999999999E-3</v>
      </c>
      <c r="U21" t="str">
        <f>IF(T21&gt;P21, AB$32, AB$33)</f>
        <v>loss</v>
      </c>
      <c r="V21">
        <f t="shared" si="1"/>
        <v>-661.53846153846155</v>
      </c>
      <c r="W21">
        <f t="shared" si="2"/>
        <v>57.692307692307686</v>
      </c>
      <c r="X21" s="2">
        <v>2.5000000000000001E-3</v>
      </c>
      <c r="Y21" t="str">
        <f>IF(X21&gt;P21, AB$32, AB$33)</f>
        <v>loss</v>
      </c>
      <c r="Z21">
        <f t="shared" si="3"/>
        <v>-692.00000000000011</v>
      </c>
      <c r="AA21">
        <f t="shared" si="4"/>
        <v>-3.9999999999999933</v>
      </c>
      <c r="AB21" s="2">
        <v>2.3E-3</v>
      </c>
      <c r="AC21" t="str">
        <f>IF(AB21&gt;P21,AB$32,AB$33)</f>
        <v>loss</v>
      </c>
      <c r="AD21">
        <f t="shared" si="5"/>
        <v>-760.86956521739137</v>
      </c>
      <c r="AE21">
        <f t="shared" si="6"/>
        <v>-8.6956521739130466</v>
      </c>
      <c r="AF21" s="2">
        <v>2.3999999999999998E-3</v>
      </c>
      <c r="AG21" t="str">
        <f>IF(AF21&gt;P21, AB$32, AB$33)</f>
        <v>loss</v>
      </c>
      <c r="AH21">
        <f t="shared" si="7"/>
        <v>-725.00000000000023</v>
      </c>
      <c r="AI21">
        <f t="shared" si="8"/>
        <v>4.1666666666666599</v>
      </c>
      <c r="AJ21" s="2">
        <v>2.3999999999999998E-3</v>
      </c>
      <c r="AK21" t="str">
        <f>IF(AJ21&gt;P21, AB$32, AB$33)</f>
        <v>loss</v>
      </c>
      <c r="AL21">
        <f t="shared" si="9"/>
        <v>-725.00000000000023</v>
      </c>
      <c r="AM21">
        <f t="shared" si="10"/>
        <v>0</v>
      </c>
    </row>
    <row r="22" spans="15:39" x14ac:dyDescent="0.2">
      <c r="O22">
        <v>752</v>
      </c>
      <c r="P22" s="2">
        <v>9.7799999999999998E-2</v>
      </c>
      <c r="Q22" s="2">
        <v>0.17630000000000001</v>
      </c>
      <c r="R22" t="str">
        <f>IF(Q22&gt;P22, AB$32, AB$33)</f>
        <v>win</v>
      </c>
      <c r="S22">
        <f t="shared" si="0"/>
        <v>44.526375496313108</v>
      </c>
      <c r="T22" s="2">
        <v>0.1794</v>
      </c>
      <c r="U22" t="str">
        <f>IF(T22&gt;P22, AB$32, AB$33)</f>
        <v>win</v>
      </c>
      <c r="V22">
        <f t="shared" si="1"/>
        <v>45.484949832775925</v>
      </c>
      <c r="W22">
        <f t="shared" si="2"/>
        <v>1.7279821627647667</v>
      </c>
      <c r="X22" s="2">
        <v>0.18099999999999999</v>
      </c>
      <c r="Y22" t="str">
        <f>IF(X22&gt;P22, AB$32, AB$33)</f>
        <v>win</v>
      </c>
      <c r="Z22">
        <f t="shared" si="3"/>
        <v>45.966850828729285</v>
      </c>
      <c r="AA22">
        <f t="shared" si="4"/>
        <v>0.88397790055248082</v>
      </c>
      <c r="AB22" s="2">
        <v>0.186</v>
      </c>
      <c r="AC22" t="str">
        <f>IF(AB22&gt;P22,AB$32,AB$33)</f>
        <v>win</v>
      </c>
      <c r="AD22">
        <f t="shared" si="5"/>
        <v>47.41935483870968</v>
      </c>
      <c r="AE22">
        <f t="shared" si="6"/>
        <v>2.6881720430107552</v>
      </c>
      <c r="AF22" s="2">
        <v>0.183</v>
      </c>
      <c r="AG22" t="str">
        <f>IF(AF22&gt;P22, AB$32, AB$33)</f>
        <v>win</v>
      </c>
      <c r="AH22">
        <f t="shared" si="7"/>
        <v>46.557377049180324</v>
      </c>
      <c r="AI22">
        <f t="shared" si="8"/>
        <v>-1.6393442622950833</v>
      </c>
      <c r="AJ22" s="2">
        <v>0.182</v>
      </c>
      <c r="AK22" t="str">
        <f>IF(AJ22&gt;P22, AB$32, AB$33)</f>
        <v>win</v>
      </c>
      <c r="AL22">
        <f t="shared" si="9"/>
        <v>46.263736263736263</v>
      </c>
      <c r="AM22">
        <f t="shared" si="10"/>
        <v>-0.54945054945054994</v>
      </c>
    </row>
    <row r="23" spans="15:39" x14ac:dyDescent="0.2">
      <c r="O23">
        <v>755</v>
      </c>
      <c r="P23" s="2">
        <v>0.1716</v>
      </c>
      <c r="Q23" s="2">
        <v>0.31709999999999999</v>
      </c>
      <c r="R23" t="str">
        <f>IF(Q23&gt;P23, AB$32, AB$33)</f>
        <v>win</v>
      </c>
      <c r="S23">
        <f t="shared" si="0"/>
        <v>45.884578997161782</v>
      </c>
      <c r="T23" s="2">
        <v>0.31459999999999999</v>
      </c>
      <c r="U23" t="str">
        <f>IF(T23&gt;P23, AB$32, AB$33)</f>
        <v>win</v>
      </c>
      <c r="V23">
        <f t="shared" si="1"/>
        <v>45.454545454545453</v>
      </c>
      <c r="W23">
        <f t="shared" si="2"/>
        <v>-0.79465988556897715</v>
      </c>
      <c r="X23" s="2">
        <v>0.31430000000000002</v>
      </c>
      <c r="Y23" t="str">
        <f>IF(X23&gt;P23, AB$32, AB$33)</f>
        <v>win</v>
      </c>
      <c r="Z23">
        <f t="shared" si="3"/>
        <v>45.402481705377028</v>
      </c>
      <c r="AA23">
        <f t="shared" si="4"/>
        <v>-9.5450206808770893E-2</v>
      </c>
      <c r="AB23" s="2">
        <v>0.31580000000000003</v>
      </c>
      <c r="AC23" t="str">
        <f>IF(AB23&gt;P23,AB$32,AB$33)</f>
        <v>win</v>
      </c>
      <c r="AD23">
        <f t="shared" si="5"/>
        <v>45.661811272957571</v>
      </c>
      <c r="AE23">
        <f t="shared" si="6"/>
        <v>0.47498416719442721</v>
      </c>
      <c r="AF23" s="2">
        <v>0.29320000000000002</v>
      </c>
      <c r="AG23" t="str">
        <f>IF(AF23&gt;P23, AB$32, AB$33)</f>
        <v>win</v>
      </c>
      <c r="AH23">
        <f t="shared" si="7"/>
        <v>41.473396998635749</v>
      </c>
      <c r="AI23">
        <f t="shared" si="8"/>
        <v>-7.7080491132332911</v>
      </c>
      <c r="AJ23" s="2">
        <v>0.29380000000000001</v>
      </c>
      <c r="AK23" t="str">
        <f>IF(AJ23&gt;P23, AB$32, AB$33)</f>
        <v>win</v>
      </c>
      <c r="AL23">
        <f t="shared" si="9"/>
        <v>41.592920353982301</v>
      </c>
      <c r="AM23">
        <f t="shared" si="10"/>
        <v>0.20422055820285548</v>
      </c>
    </row>
    <row r="24" spans="15:39" x14ac:dyDescent="0.2">
      <c r="O24">
        <v>766</v>
      </c>
      <c r="P24" s="2">
        <v>0.18709999999999999</v>
      </c>
      <c r="Q24" s="2">
        <v>0.31659999999999999</v>
      </c>
      <c r="R24" t="str">
        <f>IF(Q24&gt;P24, AB$32, AB$33)</f>
        <v>win</v>
      </c>
      <c r="S24">
        <f t="shared" si="0"/>
        <v>40.903348073278586</v>
      </c>
      <c r="T24" s="2">
        <v>0.34110000000000001</v>
      </c>
      <c r="U24" t="str">
        <f>IF(T24&gt;P24, AB$32, AB$33)</f>
        <v>win</v>
      </c>
      <c r="V24">
        <f t="shared" si="1"/>
        <v>45.148050425095285</v>
      </c>
      <c r="W24">
        <f t="shared" si="2"/>
        <v>7.1826443858106188</v>
      </c>
      <c r="X24" s="2">
        <v>0.3332</v>
      </c>
      <c r="Y24" t="str">
        <f>IF(X24&gt;P24, AB$32, AB$33)</f>
        <v>win</v>
      </c>
      <c r="Z24">
        <f t="shared" si="3"/>
        <v>43.847539015606245</v>
      </c>
      <c r="AA24">
        <f t="shared" si="4"/>
        <v>-2.3709483793517458</v>
      </c>
      <c r="AB24" s="2">
        <v>0.34710000000000002</v>
      </c>
      <c r="AC24" t="str">
        <f>IF(AB24&gt;P24,AB$32,AB$33)</f>
        <v>win</v>
      </c>
      <c r="AD24">
        <f t="shared" si="5"/>
        <v>46.096225871506775</v>
      </c>
      <c r="AE24">
        <f t="shared" si="6"/>
        <v>4.0046096225871572</v>
      </c>
      <c r="AF24" s="2">
        <v>0.34920000000000001</v>
      </c>
      <c r="AG24" t="str">
        <f>IF(AF24&gt;P24, AB$32, AB$33)</f>
        <v>win</v>
      </c>
      <c r="AH24">
        <f t="shared" si="7"/>
        <v>46.420389461626584</v>
      </c>
      <c r="AI24">
        <f t="shared" si="8"/>
        <v>0.6013745704467327</v>
      </c>
      <c r="AJ24" s="2">
        <v>0.33339999999999997</v>
      </c>
      <c r="AK24" t="str">
        <f>IF(AJ24&gt;P24, AB$32, AB$33)</f>
        <v>win</v>
      </c>
      <c r="AL24">
        <f t="shared" si="9"/>
        <v>43.881223755248946</v>
      </c>
      <c r="AM24">
        <f t="shared" si="10"/>
        <v>-4.7390521895620985</v>
      </c>
    </row>
    <row r="25" spans="15:39" x14ac:dyDescent="0.2">
      <c r="O25">
        <v>781</v>
      </c>
      <c r="P25" s="2">
        <v>4.0899999999999999E-2</v>
      </c>
      <c r="Q25" s="2">
        <v>8.6400000000000005E-2</v>
      </c>
      <c r="R25" t="str">
        <f>IF(Q25&gt;P25, AB$32, AB$33)</f>
        <v>win</v>
      </c>
      <c r="S25">
        <f t="shared" si="0"/>
        <v>52.662037037037045</v>
      </c>
      <c r="T25" s="2">
        <v>9.0200000000000002E-2</v>
      </c>
      <c r="U25" t="str">
        <f>IF(T25&gt;P25, AB$32, AB$33)</f>
        <v>win</v>
      </c>
      <c r="V25">
        <f t="shared" si="1"/>
        <v>54.656319290465639</v>
      </c>
      <c r="W25">
        <f t="shared" si="2"/>
        <v>4.2128603104212834</v>
      </c>
      <c r="X25" s="2">
        <v>9.01E-2</v>
      </c>
      <c r="Y25" t="str">
        <f>IF(X25&gt;P25, AB$32, AB$33)</f>
        <v>win</v>
      </c>
      <c r="Z25">
        <f t="shared" si="3"/>
        <v>54.605993340732518</v>
      </c>
      <c r="AA25">
        <f t="shared" si="4"/>
        <v>-0.11098779134295547</v>
      </c>
      <c r="AB25" s="2">
        <v>8.7800000000000003E-2</v>
      </c>
      <c r="AC25" t="str">
        <f>IF(AB25&gt;P25,AB$32,AB$33)</f>
        <v>win</v>
      </c>
      <c r="AD25">
        <f t="shared" si="5"/>
        <v>53.416856492027343</v>
      </c>
      <c r="AE25">
        <f t="shared" si="6"/>
        <v>-2.6195899772209525</v>
      </c>
      <c r="AF25" s="2">
        <v>9.11E-2</v>
      </c>
      <c r="AG25" t="str">
        <f>IF(AF25&gt;P25, AB$32, AB$33)</f>
        <v>win</v>
      </c>
      <c r="AH25">
        <f t="shared" si="7"/>
        <v>55.104281009879251</v>
      </c>
      <c r="AI25">
        <f t="shared" si="8"/>
        <v>3.6223929747530157</v>
      </c>
      <c r="AJ25" s="2">
        <v>9.1200000000000003E-2</v>
      </c>
      <c r="AK25" t="str">
        <f>IF(AJ25&gt;P25, AB$32, AB$33)</f>
        <v>win</v>
      </c>
      <c r="AL25">
        <f t="shared" si="9"/>
        <v>55.153508771929829</v>
      </c>
      <c r="AM25">
        <f t="shared" si="10"/>
        <v>0.10964912280702069</v>
      </c>
    </row>
    <row r="26" spans="15:39" x14ac:dyDescent="0.2">
      <c r="O26">
        <v>782</v>
      </c>
      <c r="P26" s="2">
        <v>0.2127</v>
      </c>
      <c r="Q26" s="2">
        <v>0.40339999999999998</v>
      </c>
      <c r="R26" t="str">
        <f>IF(Q26&gt;P26, AB$32, AB$33)</f>
        <v>win</v>
      </c>
      <c r="S26">
        <f t="shared" si="0"/>
        <v>47.273177987109563</v>
      </c>
      <c r="T26" s="2">
        <v>0.40089999999999998</v>
      </c>
      <c r="U26" t="str">
        <f>IF(T26&gt;P26, AB$32, AB$33)</f>
        <v>win</v>
      </c>
      <c r="V26">
        <f t="shared" si="1"/>
        <v>46.944375155899223</v>
      </c>
      <c r="W26">
        <f t="shared" si="2"/>
        <v>-0.623596906959342</v>
      </c>
      <c r="X26" s="2">
        <v>0.40570000000000001</v>
      </c>
      <c r="Y26" t="str">
        <f>IF(X26&gt;P26, AB$32, AB$33)</f>
        <v>win</v>
      </c>
      <c r="Z26">
        <f t="shared" si="3"/>
        <v>47.572097609070738</v>
      </c>
      <c r="AA26">
        <f t="shared" si="4"/>
        <v>1.1831402514173099</v>
      </c>
      <c r="AB26" s="2">
        <v>0.40589999999999998</v>
      </c>
      <c r="AC26" t="str">
        <f>IF(AB26&gt;P26,AB$32,AB$33)</f>
        <v>win</v>
      </c>
      <c r="AD26">
        <f t="shared" si="5"/>
        <v>47.597930524759789</v>
      </c>
      <c r="AE26">
        <f t="shared" si="6"/>
        <v>4.9273220004921903E-2</v>
      </c>
      <c r="AF26" s="2">
        <v>0.40579999999999999</v>
      </c>
      <c r="AG26" t="str">
        <f>IF(AF26&gt;P26, AB$32, AB$33)</f>
        <v>win</v>
      </c>
      <c r="AH26">
        <f t="shared" si="7"/>
        <v>47.585017249876785</v>
      </c>
      <c r="AI26">
        <f t="shared" si="8"/>
        <v>-2.4642681123703544E-2</v>
      </c>
      <c r="AJ26" s="2">
        <v>0.39760000000000001</v>
      </c>
      <c r="AK26" t="str">
        <f>IF(AJ26&gt;P26, AB$32, AB$33)</f>
        <v>win</v>
      </c>
      <c r="AL26">
        <f t="shared" si="9"/>
        <v>46.504024144869213</v>
      </c>
      <c r="AM26">
        <f t="shared" si="10"/>
        <v>-2.0623742454728333</v>
      </c>
    </row>
    <row r="27" spans="15:39" x14ac:dyDescent="0.2">
      <c r="O27" s="9">
        <v>784</v>
      </c>
      <c r="P27" s="43">
        <v>0.32140000000000002</v>
      </c>
      <c r="Q27" s="2">
        <v>0.18329999999999999</v>
      </c>
      <c r="R27" t="str">
        <f>IF(Q27&gt;P27, AB$32, AB$33)</f>
        <v>loss</v>
      </c>
      <c r="S27">
        <f t="shared" si="0"/>
        <v>-75.340971085651958</v>
      </c>
      <c r="T27" s="2">
        <v>0.20830000000000001</v>
      </c>
      <c r="U27" t="str">
        <f>IF(T27&gt;P27, AB$32, AB$33)</f>
        <v>loss</v>
      </c>
      <c r="V27">
        <f t="shared" si="1"/>
        <v>-54.296687469995199</v>
      </c>
      <c r="W27">
        <f t="shared" si="2"/>
        <v>12.00192030724917</v>
      </c>
      <c r="X27" s="2">
        <v>0.18329999999999999</v>
      </c>
      <c r="Y27" t="str">
        <f>IF(X27&gt;P27, AB$32, AB$33)</f>
        <v>loss</v>
      </c>
      <c r="Z27">
        <f t="shared" si="3"/>
        <v>-75.340971085651958</v>
      </c>
      <c r="AA27">
        <f t="shared" si="4"/>
        <v>-13.638843426077482</v>
      </c>
      <c r="AB27" s="2">
        <v>0.18329999999999999</v>
      </c>
      <c r="AC27" t="str">
        <f>IF(AB27&gt;P27,AB$32,AB$33)</f>
        <v>loss</v>
      </c>
      <c r="AD27">
        <f t="shared" si="5"/>
        <v>-75.340971085651958</v>
      </c>
      <c r="AE27">
        <f t="shared" si="6"/>
        <v>0</v>
      </c>
      <c r="AF27" s="2">
        <v>0.18329999999999999</v>
      </c>
      <c r="AG27" t="str">
        <f>IF(AF27&gt;P27, AB$32, AB$33)</f>
        <v>loss</v>
      </c>
      <c r="AH27">
        <f t="shared" si="7"/>
        <v>-75.340971085651958</v>
      </c>
      <c r="AI27">
        <f t="shared" si="8"/>
        <v>0</v>
      </c>
      <c r="AJ27" s="2">
        <v>0.18329999999999999</v>
      </c>
      <c r="AK27" t="str">
        <f>IF(AJ27&gt;P27, AB$32, AB$33)</f>
        <v>loss</v>
      </c>
      <c r="AL27">
        <f t="shared" si="9"/>
        <v>-75.340971085651958</v>
      </c>
      <c r="AM27">
        <f t="shared" si="10"/>
        <v>0</v>
      </c>
    </row>
    <row r="32" spans="15:39" x14ac:dyDescent="0.2">
      <c r="AB32" t="s">
        <v>14</v>
      </c>
    </row>
    <row r="33" spans="28:28" x14ac:dyDescent="0.2">
      <c r="AB33" t="s">
        <v>15</v>
      </c>
    </row>
  </sheetData>
  <autoFilter ref="O7:AK27" xr:uid="{6D596D9C-C828-6147-BF21-91A62BB7B10D}"/>
  <hyperlinks>
    <hyperlink ref="A2" r:id="rId1" xr:uid="{AC814152-2A41-9049-99D0-586B0934D0FF}"/>
    <hyperlink ref="A3" r:id="rId2" xr:uid="{F2C62A04-0A79-2D40-ADBA-DA7A921B6D9D}"/>
    <hyperlink ref="A4" r:id="rId3" xr:uid="{D373D5BE-69F5-A543-8FC3-E35D5CF473A2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96C1-B331-9A4D-A8E4-6DAB3C945E13}">
  <dimension ref="A1:AN37"/>
  <sheetViews>
    <sheetView topLeftCell="H6" zoomScale="125" zoomScaleNormal="130" workbookViewId="0">
      <selection activeCell="Q11" sqref="Q11:Q30"/>
    </sheetView>
  </sheetViews>
  <sheetFormatPr baseColWidth="10" defaultRowHeight="16" x14ac:dyDescent="0.2"/>
  <sheetData>
    <row r="1" spans="1:40" x14ac:dyDescent="0.2">
      <c r="A1" t="s">
        <v>5</v>
      </c>
      <c r="B1" s="9">
        <v>5</v>
      </c>
      <c r="C1" s="9">
        <v>10</v>
      </c>
      <c r="D1" s="9">
        <v>20</v>
      </c>
      <c r="E1" s="9">
        <v>30</v>
      </c>
      <c r="F1" s="9">
        <v>40</v>
      </c>
      <c r="G1" s="10">
        <v>50</v>
      </c>
      <c r="H1" s="9">
        <v>100</v>
      </c>
    </row>
    <row r="2" spans="1:40" x14ac:dyDescent="0.2">
      <c r="A2" s="1" t="s">
        <v>1</v>
      </c>
      <c r="B2" s="2">
        <v>0.45</v>
      </c>
      <c r="C2" s="2">
        <v>0.47499999999999998</v>
      </c>
      <c r="D2" s="2">
        <v>0.51500000000000001</v>
      </c>
      <c r="E2" s="2">
        <v>0.51500000000000001</v>
      </c>
      <c r="F2" s="2">
        <v>0.52</v>
      </c>
      <c r="G2" s="7">
        <v>0.53</v>
      </c>
      <c r="H2" s="2">
        <v>0.53</v>
      </c>
      <c r="K2">
        <f>(C5-B5)/C5*100</f>
        <v>2.9475197699496714</v>
      </c>
      <c r="L2">
        <f>(F5-E5)/F5*100</f>
        <v>1.2286689419795196</v>
      </c>
    </row>
    <row r="3" spans="1:40" x14ac:dyDescent="0.2">
      <c r="A3" s="1" t="s">
        <v>2</v>
      </c>
      <c r="B3" s="2">
        <v>0.44500000000000001</v>
      </c>
      <c r="C3" s="2">
        <v>0.48249999999999998</v>
      </c>
      <c r="D3" s="2">
        <v>0.505</v>
      </c>
      <c r="E3" s="2">
        <v>0.51500000000000001</v>
      </c>
      <c r="F3" s="2">
        <v>0.51749999999999996</v>
      </c>
      <c r="G3" s="7">
        <v>0.52</v>
      </c>
      <c r="H3" s="2">
        <v>0.51749999999999996</v>
      </c>
      <c r="K3">
        <f>(D5-C5)/D5*100</f>
        <v>3.4698126301179766</v>
      </c>
      <c r="L3">
        <f>(G5-F5)/G5*100</f>
        <v>-0.20519835841312908</v>
      </c>
    </row>
    <row r="4" spans="1:40" x14ac:dyDescent="0.2">
      <c r="A4" s="1" t="s">
        <v>3</v>
      </c>
      <c r="B4" s="2">
        <v>0.43669999999999998</v>
      </c>
      <c r="C4" s="2">
        <v>0.48499999999999999</v>
      </c>
      <c r="D4" s="2">
        <v>0.5</v>
      </c>
      <c r="E4" s="2">
        <v>0.5</v>
      </c>
      <c r="F4" s="2">
        <v>0.49830000000000002</v>
      </c>
      <c r="G4" s="7">
        <v>0.50170000000000003</v>
      </c>
      <c r="H4" s="2">
        <v>0.5</v>
      </c>
      <c r="K4">
        <f>(E5-D5)/E5*100</f>
        <v>0.41465100207324773</v>
      </c>
    </row>
    <row r="5" spans="1:40" x14ac:dyDescent="0.2">
      <c r="A5" t="s">
        <v>4</v>
      </c>
      <c r="B5" s="2">
        <v>0.13500000000000001</v>
      </c>
      <c r="C5" s="2">
        <v>0.1391</v>
      </c>
      <c r="D5" s="2">
        <v>0.14410000000000001</v>
      </c>
      <c r="E5" s="2">
        <v>0.1447</v>
      </c>
      <c r="F5" s="2">
        <v>0.14649999999999999</v>
      </c>
      <c r="G5" s="7">
        <v>0.1462</v>
      </c>
      <c r="H5" s="2">
        <v>0.14369999999999999</v>
      </c>
    </row>
    <row r="10" spans="1:40" s="46" customFormat="1" x14ac:dyDescent="0.2">
      <c r="P10" s="46" t="s">
        <v>39</v>
      </c>
      <c r="Q10" s="46" t="s">
        <v>38</v>
      </c>
      <c r="R10" s="46">
        <v>5</v>
      </c>
      <c r="S10" s="46" t="s">
        <v>13</v>
      </c>
      <c r="T10" s="46" t="s">
        <v>36</v>
      </c>
      <c r="U10" s="46">
        <v>10</v>
      </c>
      <c r="V10" s="46" t="s">
        <v>13</v>
      </c>
      <c r="W10" s="46" t="s">
        <v>36</v>
      </c>
      <c r="X10" s="46" t="s">
        <v>40</v>
      </c>
      <c r="Y10" s="46">
        <v>20</v>
      </c>
      <c r="Z10" s="46" t="s">
        <v>13</v>
      </c>
      <c r="AA10" s="46" t="s">
        <v>36</v>
      </c>
      <c r="AB10" s="46" t="s">
        <v>40</v>
      </c>
      <c r="AC10" s="46">
        <v>30</v>
      </c>
      <c r="AD10" s="46" t="s">
        <v>13</v>
      </c>
      <c r="AE10" s="46" t="s">
        <v>36</v>
      </c>
      <c r="AF10" s="46" t="s">
        <v>40</v>
      </c>
      <c r="AG10" s="46">
        <v>40</v>
      </c>
      <c r="AH10" s="46" t="s">
        <v>13</v>
      </c>
      <c r="AI10" s="46" t="s">
        <v>36</v>
      </c>
      <c r="AJ10" s="46" t="s">
        <v>40</v>
      </c>
      <c r="AK10" s="46">
        <v>50</v>
      </c>
      <c r="AL10" s="46" t="s">
        <v>13</v>
      </c>
      <c r="AM10" s="46" t="s">
        <v>36</v>
      </c>
      <c r="AN10" s="46" t="s">
        <v>40</v>
      </c>
    </row>
    <row r="11" spans="1:40" x14ac:dyDescent="0.2">
      <c r="O11" s="1"/>
      <c r="P11">
        <v>704</v>
      </c>
      <c r="Q11" s="2">
        <v>2.5000000000000001E-3</v>
      </c>
      <c r="R11" s="2">
        <v>7.3700000000000002E-2</v>
      </c>
      <c r="S11" t="str">
        <f>IF(R11&gt;Q11, W$36, W$37)</f>
        <v>win</v>
      </c>
      <c r="T11">
        <f>(R11-Q11)/R11*100</f>
        <v>96.607869742198091</v>
      </c>
      <c r="U11" s="2">
        <v>0.112</v>
      </c>
      <c r="V11" s="2" t="str">
        <f>IF(U11&gt;Q11, W$36, W$37)</f>
        <v>win</v>
      </c>
      <c r="W11">
        <f>(U11-Q11)/U11*100</f>
        <v>97.767857142857139</v>
      </c>
      <c r="X11">
        <f>(U11-R11)/U11*100</f>
        <v>34.196428571428569</v>
      </c>
      <c r="Y11" s="2">
        <v>0.14860000000000001</v>
      </c>
      <c r="Z11" t="str">
        <f>IF(Y11&gt;Q11, W$36, W$37)</f>
        <v>win</v>
      </c>
      <c r="AA11">
        <f>(Y11-Q11)/Y11*100</f>
        <v>98.317631224764469</v>
      </c>
      <c r="AB11">
        <f>(Y11-U11)/Y11*100</f>
        <v>24.629878869448184</v>
      </c>
      <c r="AC11" s="2">
        <v>0.16370000000000001</v>
      </c>
      <c r="AD11" s="2" t="str">
        <f>IF(AC11&gt;Q11, W$36, W$37)</f>
        <v>win</v>
      </c>
      <c r="AE11">
        <f>(AC11-Q11)/AC11*100</f>
        <v>98.472816127061705</v>
      </c>
      <c r="AF11">
        <f>(AC11-Y11)/AC11*100</f>
        <v>9.2241905925473429</v>
      </c>
      <c r="AG11" s="2">
        <v>0.1792</v>
      </c>
      <c r="AH11" s="2" t="str">
        <f>IF(AG11&gt;Q11, W$36, W$37)</f>
        <v>win</v>
      </c>
      <c r="AI11">
        <f>(AG11-Q11)/AG11*100</f>
        <v>98.604910714285708</v>
      </c>
      <c r="AJ11">
        <f>(AG11-AC11)/AG11*100</f>
        <v>8.6495535714285641</v>
      </c>
      <c r="AK11" s="2">
        <v>0.18340000000000001</v>
      </c>
      <c r="AL11" t="str">
        <f>IF(AK11&gt;Q11, W$36, W$37)</f>
        <v>win</v>
      </c>
      <c r="AM11">
        <f>(AK11-Q11)/AK11*100</f>
        <v>98.63685932388222</v>
      </c>
      <c r="AN11">
        <f>(AK11-AG11)/AK11*100</f>
        <v>2.2900763358778673</v>
      </c>
    </row>
    <row r="12" spans="1:40" x14ac:dyDescent="0.2">
      <c r="O12" s="1"/>
      <c r="P12">
        <v>706</v>
      </c>
      <c r="Q12" s="2">
        <v>3.3999999999999998E-3</v>
      </c>
      <c r="R12" s="2">
        <v>5.2499999999999998E-2</v>
      </c>
      <c r="S12" t="str">
        <f t="shared" ref="S12:S30" si="0">IF(R12&gt;Q12, W$36, W$37)</f>
        <v>win</v>
      </c>
      <c r="T12">
        <f t="shared" ref="T12:T30" si="1">(R12-Q12)/R12*100</f>
        <v>93.523809523809518</v>
      </c>
      <c r="U12" s="2">
        <v>4.7699999999999999E-2</v>
      </c>
      <c r="V12" s="2" t="str">
        <f t="shared" ref="V12:V30" si="2">IF(U12&gt;Q12, W$36, W$37)</f>
        <v>win</v>
      </c>
      <c r="W12">
        <f t="shared" ref="W12:W30" si="3">(U12-Q12)/U12*100</f>
        <v>92.872117400419285</v>
      </c>
      <c r="X12">
        <f t="shared" ref="X12:X30" si="4">(U12-R12)/U12*100</f>
        <v>-10.062893081761004</v>
      </c>
      <c r="Y12" s="2">
        <v>4.9200000000000001E-2</v>
      </c>
      <c r="Z12" t="str">
        <f t="shared" ref="Z12:Z30" si="5">IF(Y12&gt;Q12, W$36, W$37)</f>
        <v>win</v>
      </c>
      <c r="AA12">
        <f t="shared" ref="AA12:AA30" si="6">(Y12-Q12)/Y12*100</f>
        <v>93.089430894308947</v>
      </c>
      <c r="AB12">
        <f t="shared" ref="AB12:AB30" si="7">(Y12-U12)/Y12*100</f>
        <v>3.0487804878048808</v>
      </c>
      <c r="AC12" s="2">
        <v>5.33E-2</v>
      </c>
      <c r="AD12" s="2" t="str">
        <f t="shared" ref="AD12:AD30" si="8">IF(AC12&gt;Q12, W$36, W$37)</f>
        <v>win</v>
      </c>
      <c r="AE12">
        <f t="shared" ref="AE12:AE30" si="9">(AC12-Q12)/AC12*100</f>
        <v>93.621013133208251</v>
      </c>
      <c r="AF12">
        <f t="shared" ref="AF12:AF30" si="10">(AC12-Y12)/AC12*100</f>
        <v>7.6923076923076916</v>
      </c>
      <c r="AG12" s="2">
        <v>5.1499999999999997E-2</v>
      </c>
      <c r="AH12" s="2" t="str">
        <f t="shared" ref="AH12:AH30" si="11">IF(AG12&gt;Q12, W$36, W$37)</f>
        <v>win</v>
      </c>
      <c r="AI12">
        <f t="shared" ref="AI12:AI30" si="12">(AG12-Q12)/AG12*100</f>
        <v>93.398058252427191</v>
      </c>
      <c r="AJ12">
        <f t="shared" ref="AJ12:AJ30" si="13">(AG12-AC12)/AG12*100</f>
        <v>-3.4951456310679667</v>
      </c>
      <c r="AK12" s="2">
        <v>5.5E-2</v>
      </c>
      <c r="AL12" t="str">
        <f t="shared" ref="AL12:AL30" si="14">IF(AK12&gt;Q12, W$36, W$37)</f>
        <v>win</v>
      </c>
      <c r="AM12">
        <f t="shared" ref="AM12:AM30" si="15">(AK12-Q12)/AK12*100</f>
        <v>93.818181818181827</v>
      </c>
      <c r="AN12">
        <f t="shared" ref="AN12:AN30" si="16">(AK12-AG12)/AK12*100</f>
        <v>6.3636363636363695</v>
      </c>
    </row>
    <row r="13" spans="1:40" x14ac:dyDescent="0.2">
      <c r="O13" s="1"/>
      <c r="P13">
        <v>709</v>
      </c>
      <c r="Q13" s="2">
        <v>0.32379999999999998</v>
      </c>
      <c r="R13" s="2">
        <v>0.26250000000000001</v>
      </c>
      <c r="S13" t="str">
        <f t="shared" si="0"/>
        <v>loss</v>
      </c>
      <c r="T13">
        <f t="shared" si="1"/>
        <v>-23.352380952380937</v>
      </c>
      <c r="U13" s="2">
        <v>0.26979999999999998</v>
      </c>
      <c r="V13" s="2" t="str">
        <f t="shared" si="2"/>
        <v>loss</v>
      </c>
      <c r="W13">
        <f t="shared" si="3"/>
        <v>-20.014825796886583</v>
      </c>
      <c r="X13">
        <f t="shared" si="4"/>
        <v>2.7057079318013244</v>
      </c>
      <c r="Y13" s="2">
        <v>0.27139999999999997</v>
      </c>
      <c r="Z13" t="str">
        <f t="shared" si="5"/>
        <v>loss</v>
      </c>
      <c r="AA13">
        <f t="shared" si="6"/>
        <v>-19.30729550478998</v>
      </c>
      <c r="AB13">
        <f t="shared" si="7"/>
        <v>0.58953574060427061</v>
      </c>
      <c r="AC13" s="2">
        <v>0.27160000000000001</v>
      </c>
      <c r="AD13" s="2" t="str">
        <f t="shared" si="8"/>
        <v>loss</v>
      </c>
      <c r="AE13">
        <f t="shared" si="9"/>
        <v>-19.219440353460961</v>
      </c>
      <c r="AF13">
        <f t="shared" si="10"/>
        <v>7.3637702503694211E-2</v>
      </c>
      <c r="AG13" s="2">
        <v>0.27239999999999998</v>
      </c>
      <c r="AH13" s="2" t="str">
        <f t="shared" si="11"/>
        <v>loss</v>
      </c>
      <c r="AI13">
        <f t="shared" si="12"/>
        <v>-18.869309838472837</v>
      </c>
      <c r="AJ13">
        <f t="shared" si="13"/>
        <v>0.29368575624081039</v>
      </c>
      <c r="AK13" s="2">
        <v>0.27710000000000001</v>
      </c>
      <c r="AL13" t="str">
        <f t="shared" si="14"/>
        <v>loss</v>
      </c>
      <c r="AM13">
        <f t="shared" si="15"/>
        <v>-16.853121616744843</v>
      </c>
      <c r="AN13">
        <f t="shared" si="16"/>
        <v>1.6961385781306522</v>
      </c>
    </row>
    <row r="14" spans="1:40" x14ac:dyDescent="0.2">
      <c r="P14">
        <v>714</v>
      </c>
      <c r="Q14" s="2">
        <v>2.06E-2</v>
      </c>
      <c r="R14" s="2">
        <v>9.7999999999999997E-3</v>
      </c>
      <c r="S14" t="str">
        <f t="shared" si="0"/>
        <v>loss</v>
      </c>
      <c r="T14">
        <f t="shared" si="1"/>
        <v>-110.20408163265307</v>
      </c>
      <c r="U14" s="2">
        <v>1.15E-2</v>
      </c>
      <c r="V14" s="2" t="str">
        <f t="shared" si="2"/>
        <v>loss</v>
      </c>
      <c r="W14">
        <f t="shared" si="3"/>
        <v>-79.130434782608702</v>
      </c>
      <c r="X14">
        <f t="shared" si="4"/>
        <v>14.782608695652174</v>
      </c>
      <c r="Y14" s="2">
        <v>1.0500000000000001E-2</v>
      </c>
      <c r="Z14" t="str">
        <f t="shared" si="5"/>
        <v>loss</v>
      </c>
      <c r="AA14">
        <f t="shared" si="6"/>
        <v>-96.190476190476176</v>
      </c>
      <c r="AB14">
        <f t="shared" si="7"/>
        <v>-9.5238095238095148</v>
      </c>
      <c r="AC14" s="2">
        <v>9.1000000000000004E-3</v>
      </c>
      <c r="AD14" s="2" t="str">
        <f t="shared" si="8"/>
        <v>loss</v>
      </c>
      <c r="AE14">
        <f t="shared" si="9"/>
        <v>-126.37362637362637</v>
      </c>
      <c r="AF14">
        <f t="shared" si="10"/>
        <v>-15.384615384615385</v>
      </c>
      <c r="AG14" s="2">
        <v>9.1000000000000004E-3</v>
      </c>
      <c r="AH14" s="2" t="str">
        <f t="shared" si="11"/>
        <v>loss</v>
      </c>
      <c r="AI14">
        <f t="shared" si="12"/>
        <v>-126.37362637362637</v>
      </c>
      <c r="AJ14">
        <f t="shared" si="13"/>
        <v>0</v>
      </c>
      <c r="AK14" s="2">
        <v>8.9999999999999993E-3</v>
      </c>
      <c r="AL14" t="str">
        <f t="shared" si="14"/>
        <v>loss</v>
      </c>
      <c r="AM14">
        <f t="shared" si="15"/>
        <v>-128.88888888888891</v>
      </c>
      <c r="AN14">
        <f t="shared" si="16"/>
        <v>-1.1111111111111238</v>
      </c>
    </row>
    <row r="15" spans="1:40" x14ac:dyDescent="0.2">
      <c r="P15">
        <v>716</v>
      </c>
      <c r="Q15" s="2">
        <v>2.7000000000000001E-3</v>
      </c>
      <c r="R15" s="2">
        <v>1.6E-2</v>
      </c>
      <c r="S15" t="str">
        <f t="shared" si="0"/>
        <v>win</v>
      </c>
      <c r="T15">
        <f t="shared" si="1"/>
        <v>83.125</v>
      </c>
      <c r="U15" s="2">
        <v>1.9E-2</v>
      </c>
      <c r="V15" s="2" t="str">
        <f t="shared" si="2"/>
        <v>win</v>
      </c>
      <c r="W15">
        <f t="shared" si="3"/>
        <v>85.78947368421052</v>
      </c>
      <c r="X15">
        <f t="shared" si="4"/>
        <v>15.789473684210522</v>
      </c>
      <c r="Y15" s="2">
        <v>2.4500000000000001E-2</v>
      </c>
      <c r="Z15" t="str">
        <f t="shared" si="5"/>
        <v>win</v>
      </c>
      <c r="AA15">
        <f t="shared" si="6"/>
        <v>88.979591836734699</v>
      </c>
      <c r="AB15">
        <f t="shared" si="7"/>
        <v>22.448979591836739</v>
      </c>
      <c r="AC15" s="2">
        <v>2.6499999999999999E-2</v>
      </c>
      <c r="AD15" s="2" t="str">
        <f t="shared" si="8"/>
        <v>win</v>
      </c>
      <c r="AE15">
        <f t="shared" si="9"/>
        <v>89.811320754716974</v>
      </c>
      <c r="AF15">
        <f t="shared" si="10"/>
        <v>7.5471698113207486</v>
      </c>
      <c r="AG15" s="2">
        <v>2.6700000000000002E-2</v>
      </c>
      <c r="AH15" s="2" t="str">
        <f t="shared" si="11"/>
        <v>win</v>
      </c>
      <c r="AI15">
        <f t="shared" si="12"/>
        <v>89.887640449438194</v>
      </c>
      <c r="AJ15">
        <f t="shared" si="13"/>
        <v>0.7490636704119934</v>
      </c>
      <c r="AK15" s="2">
        <v>2.69E-2</v>
      </c>
      <c r="AL15" t="str">
        <f t="shared" si="14"/>
        <v>win</v>
      </c>
      <c r="AM15">
        <f t="shared" si="15"/>
        <v>89.962825278810413</v>
      </c>
      <c r="AN15">
        <f t="shared" si="16"/>
        <v>0.74349442379181707</v>
      </c>
    </row>
    <row r="16" spans="1:40" x14ac:dyDescent="0.2">
      <c r="P16">
        <v>717</v>
      </c>
      <c r="Q16" s="2">
        <v>5.5E-2</v>
      </c>
      <c r="R16" s="2">
        <v>5.8400000000000001E-2</v>
      </c>
      <c r="S16" t="str">
        <f t="shared" si="0"/>
        <v>win</v>
      </c>
      <c r="T16">
        <f t="shared" si="1"/>
        <v>5.8219178082191787</v>
      </c>
      <c r="U16" s="2">
        <v>6.7500000000000004E-2</v>
      </c>
      <c r="V16" s="2" t="str">
        <f t="shared" si="2"/>
        <v>win</v>
      </c>
      <c r="W16">
        <f t="shared" si="3"/>
        <v>18.518518518518523</v>
      </c>
      <c r="X16">
        <f t="shared" si="4"/>
        <v>13.481481481481486</v>
      </c>
      <c r="Y16" s="2">
        <v>6.4899999999999999E-2</v>
      </c>
      <c r="Z16" t="str">
        <f t="shared" si="5"/>
        <v>win</v>
      </c>
      <c r="AA16">
        <f t="shared" si="6"/>
        <v>15.254237288135592</v>
      </c>
      <c r="AB16">
        <f t="shared" si="7"/>
        <v>-4.0061633281972338</v>
      </c>
      <c r="AC16" s="2">
        <v>5.9499999999999997E-2</v>
      </c>
      <c r="AD16" s="2" t="str">
        <f t="shared" si="8"/>
        <v>win</v>
      </c>
      <c r="AE16">
        <f t="shared" si="9"/>
        <v>7.5630252100840289</v>
      </c>
      <c r="AF16">
        <f t="shared" si="10"/>
        <v>-9.0756302521008436</v>
      </c>
      <c r="AG16" s="2">
        <v>5.8900000000000001E-2</v>
      </c>
      <c r="AH16" s="2" t="str">
        <f t="shared" si="11"/>
        <v>win</v>
      </c>
      <c r="AI16">
        <f t="shared" si="12"/>
        <v>6.621392190152803</v>
      </c>
      <c r="AJ16">
        <f t="shared" si="13"/>
        <v>-1.0186757215619633</v>
      </c>
      <c r="AK16" s="2">
        <v>6.0100000000000001E-2</v>
      </c>
      <c r="AL16" t="str">
        <f t="shared" si="14"/>
        <v>win</v>
      </c>
      <c r="AM16">
        <f t="shared" si="15"/>
        <v>8.4858569051580712</v>
      </c>
      <c r="AN16">
        <f t="shared" si="16"/>
        <v>1.9966722129783689</v>
      </c>
    </row>
    <row r="17" spans="16:40" x14ac:dyDescent="0.2">
      <c r="P17" s="44">
        <v>721</v>
      </c>
      <c r="Q17" s="45">
        <v>6.1000000000000004E-3</v>
      </c>
      <c r="R17" s="2">
        <v>3.8800000000000001E-2</v>
      </c>
      <c r="S17" t="str">
        <f t="shared" si="0"/>
        <v>win</v>
      </c>
      <c r="T17">
        <f t="shared" si="1"/>
        <v>84.278350515463913</v>
      </c>
      <c r="U17" s="2">
        <v>5.0999999999999997E-2</v>
      </c>
      <c r="V17" s="2" t="str">
        <f t="shared" si="2"/>
        <v>win</v>
      </c>
      <c r="W17">
        <f t="shared" si="3"/>
        <v>88.039215686274503</v>
      </c>
      <c r="X17">
        <f t="shared" si="4"/>
        <v>23.921568627450974</v>
      </c>
      <c r="Y17" s="2">
        <v>4.5400000000000003E-2</v>
      </c>
      <c r="Z17" t="str">
        <f t="shared" si="5"/>
        <v>win</v>
      </c>
      <c r="AA17">
        <f t="shared" si="6"/>
        <v>86.563876651982369</v>
      </c>
      <c r="AB17">
        <f t="shared" si="7"/>
        <v>-12.334801762114523</v>
      </c>
      <c r="AC17" s="2">
        <v>4.8599999999999997E-2</v>
      </c>
      <c r="AD17" s="2" t="str">
        <f t="shared" si="8"/>
        <v>win</v>
      </c>
      <c r="AE17">
        <f t="shared" si="9"/>
        <v>87.44855967078189</v>
      </c>
      <c r="AF17">
        <f t="shared" si="10"/>
        <v>6.584362139917685</v>
      </c>
      <c r="AG17" s="2">
        <v>4.8800000000000003E-2</v>
      </c>
      <c r="AH17" s="2" t="str">
        <f t="shared" si="11"/>
        <v>win</v>
      </c>
      <c r="AI17">
        <f t="shared" si="12"/>
        <v>87.5</v>
      </c>
      <c r="AJ17">
        <f t="shared" si="13"/>
        <v>0.40983606557378222</v>
      </c>
      <c r="AK17" s="2">
        <v>4.8500000000000001E-2</v>
      </c>
      <c r="AL17" t="str">
        <f t="shared" si="14"/>
        <v>win</v>
      </c>
      <c r="AM17">
        <f t="shared" si="15"/>
        <v>87.422680412371136</v>
      </c>
      <c r="AN17">
        <f t="shared" si="16"/>
        <v>-0.61855670103093119</v>
      </c>
    </row>
    <row r="18" spans="16:40" x14ac:dyDescent="0.2">
      <c r="P18" s="44">
        <v>724</v>
      </c>
      <c r="Q18" s="45">
        <v>0.2641</v>
      </c>
      <c r="R18" s="2">
        <v>0.11509999999999999</v>
      </c>
      <c r="S18" t="str">
        <f t="shared" si="0"/>
        <v>loss</v>
      </c>
      <c r="T18">
        <f t="shared" si="1"/>
        <v>-129.45264986967857</v>
      </c>
      <c r="U18" s="2">
        <v>0.1222</v>
      </c>
      <c r="V18" s="2" t="str">
        <f t="shared" si="2"/>
        <v>loss</v>
      </c>
      <c r="W18">
        <f t="shared" si="3"/>
        <v>-116.12111292962356</v>
      </c>
      <c r="X18">
        <f t="shared" si="4"/>
        <v>5.8101472995090084</v>
      </c>
      <c r="Y18" s="2">
        <v>0.1401</v>
      </c>
      <c r="Z18" t="str">
        <f t="shared" si="5"/>
        <v>loss</v>
      </c>
      <c r="AA18">
        <f t="shared" si="6"/>
        <v>-88.508208422555313</v>
      </c>
      <c r="AB18">
        <f t="shared" si="7"/>
        <v>12.776588151320484</v>
      </c>
      <c r="AC18" s="2">
        <v>0.16689999999999999</v>
      </c>
      <c r="AD18" s="2" t="str">
        <f t="shared" si="8"/>
        <v>loss</v>
      </c>
      <c r="AE18">
        <f t="shared" si="9"/>
        <v>-58.238466147393652</v>
      </c>
      <c r="AF18">
        <f t="shared" si="10"/>
        <v>16.057519472738161</v>
      </c>
      <c r="AG18" s="2">
        <v>0.16750000000000001</v>
      </c>
      <c r="AH18" s="2" t="str">
        <f t="shared" si="11"/>
        <v>loss</v>
      </c>
      <c r="AI18">
        <f t="shared" si="12"/>
        <v>-57.67164179104477</v>
      </c>
      <c r="AJ18">
        <f t="shared" si="13"/>
        <v>0.35820895522389085</v>
      </c>
      <c r="AK18" s="2">
        <v>0.17580000000000001</v>
      </c>
      <c r="AL18" t="str">
        <f t="shared" si="14"/>
        <v>loss</v>
      </c>
      <c r="AM18">
        <f t="shared" si="15"/>
        <v>-50.227531285551748</v>
      </c>
      <c r="AN18">
        <f t="shared" si="16"/>
        <v>4.7212741751990901</v>
      </c>
    </row>
    <row r="19" spans="16:40" x14ac:dyDescent="0.2">
      <c r="P19" s="44">
        <v>725</v>
      </c>
      <c r="Q19" s="45">
        <v>2.0799999999999999E-2</v>
      </c>
      <c r="R19" s="2">
        <v>8.3000000000000004E-2</v>
      </c>
      <c r="S19" t="str">
        <f t="shared" si="0"/>
        <v>win</v>
      </c>
      <c r="T19">
        <f t="shared" si="1"/>
        <v>74.939759036144579</v>
      </c>
      <c r="U19" s="2">
        <v>8.14E-2</v>
      </c>
      <c r="V19" s="2" t="str">
        <f t="shared" si="2"/>
        <v>win</v>
      </c>
      <c r="W19">
        <f t="shared" si="3"/>
        <v>74.447174447174447</v>
      </c>
      <c r="X19">
        <f t="shared" si="4"/>
        <v>-1.9656019656019708</v>
      </c>
      <c r="Y19" s="2">
        <v>9.5899999999999999E-2</v>
      </c>
      <c r="Z19" t="str">
        <f t="shared" si="5"/>
        <v>win</v>
      </c>
      <c r="AA19">
        <f t="shared" si="6"/>
        <v>78.31074035453598</v>
      </c>
      <c r="AB19">
        <f t="shared" si="7"/>
        <v>15.119916579770592</v>
      </c>
      <c r="AC19" s="2">
        <v>0.106</v>
      </c>
      <c r="AD19" s="2" t="str">
        <f t="shared" si="8"/>
        <v>win</v>
      </c>
      <c r="AE19">
        <f t="shared" si="9"/>
        <v>80.377358490566039</v>
      </c>
      <c r="AF19">
        <f t="shared" si="10"/>
        <v>9.52830188679245</v>
      </c>
      <c r="AG19" s="2">
        <v>0.1065</v>
      </c>
      <c r="AH19" s="2" t="str">
        <f t="shared" si="11"/>
        <v>win</v>
      </c>
      <c r="AI19">
        <f t="shared" si="12"/>
        <v>80.46948356807512</v>
      </c>
      <c r="AJ19">
        <f t="shared" si="13"/>
        <v>0.46948356807511782</v>
      </c>
      <c r="AK19" s="2">
        <v>0.10440000000000001</v>
      </c>
      <c r="AL19" t="str">
        <f t="shared" si="14"/>
        <v>win</v>
      </c>
      <c r="AM19">
        <f t="shared" si="15"/>
        <v>80.076628352490417</v>
      </c>
      <c r="AN19">
        <f t="shared" si="16"/>
        <v>-2.011494252873554</v>
      </c>
    </row>
    <row r="20" spans="16:40" x14ac:dyDescent="0.2">
      <c r="P20" s="44">
        <v>729</v>
      </c>
      <c r="Q20" s="45">
        <v>0</v>
      </c>
      <c r="R20" s="2">
        <v>4.8999999999999998E-3</v>
      </c>
      <c r="S20" t="str">
        <f t="shared" si="0"/>
        <v>win</v>
      </c>
      <c r="T20">
        <f t="shared" si="1"/>
        <v>100</v>
      </c>
      <c r="U20" s="2">
        <v>2.8E-3</v>
      </c>
      <c r="V20" s="2" t="str">
        <f t="shared" si="2"/>
        <v>win</v>
      </c>
      <c r="W20">
        <f t="shared" si="3"/>
        <v>100</v>
      </c>
      <c r="X20">
        <f t="shared" si="4"/>
        <v>-75</v>
      </c>
      <c r="Y20" s="2">
        <v>2.8999999999999998E-3</v>
      </c>
      <c r="Z20" t="str">
        <f t="shared" si="5"/>
        <v>win</v>
      </c>
      <c r="AA20">
        <f t="shared" si="6"/>
        <v>100</v>
      </c>
      <c r="AB20">
        <f t="shared" si="7"/>
        <v>3.44827586206896</v>
      </c>
      <c r="AC20" s="2">
        <v>2.7000000000000001E-3</v>
      </c>
      <c r="AD20" s="2" t="str">
        <f t="shared" si="8"/>
        <v>win</v>
      </c>
      <c r="AE20">
        <f t="shared" si="9"/>
        <v>100</v>
      </c>
      <c r="AF20">
        <f t="shared" si="10"/>
        <v>-7.4074074074073941</v>
      </c>
      <c r="AG20" s="2">
        <v>2.5999999999999999E-3</v>
      </c>
      <c r="AH20" s="2" t="str">
        <f t="shared" si="11"/>
        <v>win</v>
      </c>
      <c r="AI20">
        <f t="shared" si="12"/>
        <v>100</v>
      </c>
      <c r="AJ20">
        <f t="shared" si="13"/>
        <v>-3.846153846153856</v>
      </c>
      <c r="AK20" s="2">
        <v>2.8999999999999998E-3</v>
      </c>
      <c r="AL20" t="str">
        <f t="shared" si="14"/>
        <v>win</v>
      </c>
      <c r="AM20">
        <f t="shared" si="15"/>
        <v>100</v>
      </c>
      <c r="AN20">
        <f t="shared" si="16"/>
        <v>10.344827586206895</v>
      </c>
    </row>
    <row r="21" spans="16:40" x14ac:dyDescent="0.2">
      <c r="P21" s="44">
        <v>735</v>
      </c>
      <c r="Q21" s="45">
        <v>3.0999999999999999E-3</v>
      </c>
      <c r="R21" s="2">
        <v>7.4099999999999999E-2</v>
      </c>
      <c r="S21" t="str">
        <f t="shared" si="0"/>
        <v>win</v>
      </c>
      <c r="T21">
        <f t="shared" si="1"/>
        <v>95.816464237516868</v>
      </c>
      <c r="U21" s="2">
        <v>7.4700000000000003E-2</v>
      </c>
      <c r="V21" s="2" t="str">
        <f t="shared" si="2"/>
        <v>win</v>
      </c>
      <c r="W21">
        <f t="shared" si="3"/>
        <v>95.850066934404282</v>
      </c>
      <c r="X21">
        <f t="shared" si="4"/>
        <v>0.80321285140562693</v>
      </c>
      <c r="Y21" s="2">
        <v>8.0100000000000005E-2</v>
      </c>
      <c r="Z21" t="str">
        <f t="shared" si="5"/>
        <v>win</v>
      </c>
      <c r="AA21">
        <f t="shared" si="6"/>
        <v>96.129837702871399</v>
      </c>
      <c r="AB21">
        <f t="shared" si="7"/>
        <v>6.7415730337078674</v>
      </c>
      <c r="AC21" s="2">
        <v>7.6799999999999993E-2</v>
      </c>
      <c r="AD21" s="2" t="str">
        <f t="shared" si="8"/>
        <v>win</v>
      </c>
      <c r="AE21">
        <f t="shared" si="9"/>
        <v>95.963541666666657</v>
      </c>
      <c r="AF21">
        <f t="shared" si="10"/>
        <v>-4.2968750000000151</v>
      </c>
      <c r="AG21" s="2">
        <v>7.8200000000000006E-2</v>
      </c>
      <c r="AH21" s="2" t="str">
        <f t="shared" si="11"/>
        <v>win</v>
      </c>
      <c r="AI21">
        <f t="shared" si="12"/>
        <v>96.03580562659846</v>
      </c>
      <c r="AJ21">
        <f t="shared" si="13"/>
        <v>1.7902813299232891</v>
      </c>
      <c r="AK21" s="2">
        <v>7.7700000000000005E-2</v>
      </c>
      <c r="AL21" t="str">
        <f t="shared" si="14"/>
        <v>win</v>
      </c>
      <c r="AM21">
        <f t="shared" si="15"/>
        <v>96.010296010296003</v>
      </c>
      <c r="AN21">
        <f t="shared" si="16"/>
        <v>-0.64350064350064407</v>
      </c>
    </row>
    <row r="22" spans="16:40" x14ac:dyDescent="0.2">
      <c r="P22" s="44">
        <v>736</v>
      </c>
      <c r="Q22" s="45">
        <v>6.8500000000000005E-2</v>
      </c>
      <c r="R22" s="2">
        <v>0.1303</v>
      </c>
      <c r="S22" t="str">
        <f t="shared" si="0"/>
        <v>win</v>
      </c>
      <c r="T22">
        <f t="shared" si="1"/>
        <v>47.429009976976204</v>
      </c>
      <c r="U22" s="2">
        <v>0.15409999999999999</v>
      </c>
      <c r="V22" s="2" t="str">
        <f t="shared" si="2"/>
        <v>win</v>
      </c>
      <c r="W22">
        <f t="shared" si="3"/>
        <v>55.548345230369875</v>
      </c>
      <c r="X22">
        <f t="shared" si="4"/>
        <v>15.444516547696294</v>
      </c>
      <c r="Y22" s="2">
        <v>0.16309999999999999</v>
      </c>
      <c r="Z22" t="str">
        <f t="shared" si="5"/>
        <v>win</v>
      </c>
      <c r="AA22">
        <f t="shared" si="6"/>
        <v>58.001226241569583</v>
      </c>
      <c r="AB22">
        <f t="shared" si="7"/>
        <v>5.5180870631514463</v>
      </c>
      <c r="AC22" s="2">
        <v>0.17150000000000001</v>
      </c>
      <c r="AD22" s="2" t="str">
        <f t="shared" si="8"/>
        <v>win</v>
      </c>
      <c r="AE22">
        <f t="shared" si="9"/>
        <v>60.058309037900869</v>
      </c>
      <c r="AF22">
        <f t="shared" si="10"/>
        <v>4.8979591836734793</v>
      </c>
      <c r="AG22" s="2">
        <v>0.17549999999999999</v>
      </c>
      <c r="AH22" s="2" t="str">
        <f t="shared" si="11"/>
        <v>win</v>
      </c>
      <c r="AI22">
        <f t="shared" si="12"/>
        <v>60.968660968660956</v>
      </c>
      <c r="AJ22">
        <f t="shared" si="13"/>
        <v>2.2792022792022655</v>
      </c>
      <c r="AK22" s="2">
        <v>0.17780000000000001</v>
      </c>
      <c r="AL22" t="str">
        <f t="shared" si="14"/>
        <v>win</v>
      </c>
      <c r="AM22">
        <f t="shared" si="15"/>
        <v>61.473565804274465</v>
      </c>
      <c r="AN22">
        <f t="shared" si="16"/>
        <v>1.2935883014623308</v>
      </c>
    </row>
    <row r="23" spans="16:40" x14ac:dyDescent="0.2">
      <c r="P23" s="44">
        <v>738</v>
      </c>
      <c r="Q23" s="45">
        <v>0.32050000000000001</v>
      </c>
      <c r="R23" s="2">
        <v>0.2576</v>
      </c>
      <c r="S23" t="str">
        <f t="shared" si="0"/>
        <v>loss</v>
      </c>
      <c r="T23">
        <f t="shared" si="1"/>
        <v>-24.41770186335404</v>
      </c>
      <c r="U23" s="2">
        <v>0.26019999999999999</v>
      </c>
      <c r="V23" s="2" t="str">
        <f t="shared" si="2"/>
        <v>loss</v>
      </c>
      <c r="W23">
        <f t="shared" si="3"/>
        <v>-23.174481168332061</v>
      </c>
      <c r="X23">
        <f t="shared" si="4"/>
        <v>0.99923136049192596</v>
      </c>
      <c r="Y23" s="2">
        <v>0.25790000000000002</v>
      </c>
      <c r="Z23" t="str">
        <f t="shared" si="5"/>
        <v>loss</v>
      </c>
      <c r="AA23">
        <f t="shared" si="6"/>
        <v>-24.272974020938342</v>
      </c>
      <c r="AB23">
        <f t="shared" si="7"/>
        <v>-0.89181853431561409</v>
      </c>
      <c r="AC23" s="2">
        <v>0.24790000000000001</v>
      </c>
      <c r="AD23" s="2" t="str">
        <f t="shared" si="8"/>
        <v>loss</v>
      </c>
      <c r="AE23">
        <f t="shared" si="9"/>
        <v>-29.286002420330774</v>
      </c>
      <c r="AF23">
        <f t="shared" si="10"/>
        <v>-4.0338846308995597</v>
      </c>
      <c r="AG23" s="2">
        <v>0.25219999999999998</v>
      </c>
      <c r="AH23" s="2" t="str">
        <f t="shared" si="11"/>
        <v>loss</v>
      </c>
      <c r="AI23">
        <f t="shared" si="12"/>
        <v>-27.08168120539256</v>
      </c>
      <c r="AJ23">
        <f t="shared" si="13"/>
        <v>1.7049960348929305</v>
      </c>
      <c r="AK23" s="2">
        <v>0.25409999999999999</v>
      </c>
      <c r="AL23" t="str">
        <f t="shared" si="14"/>
        <v>loss</v>
      </c>
      <c r="AM23">
        <f t="shared" si="15"/>
        <v>-26.131444313262502</v>
      </c>
      <c r="AN23">
        <f t="shared" si="16"/>
        <v>0.74773711137347998</v>
      </c>
    </row>
    <row r="24" spans="16:40" x14ac:dyDescent="0.2">
      <c r="P24" s="44">
        <v>741</v>
      </c>
      <c r="Q24" s="45">
        <v>1.9800000000000002E-2</v>
      </c>
      <c r="R24" s="2">
        <v>3.3E-3</v>
      </c>
      <c r="S24" t="str">
        <f t="shared" si="0"/>
        <v>loss</v>
      </c>
      <c r="T24">
        <f t="shared" si="1"/>
        <v>-500</v>
      </c>
      <c r="U24" s="2">
        <v>2.3999999999999998E-3</v>
      </c>
      <c r="V24" s="2" t="str">
        <f t="shared" si="2"/>
        <v>loss</v>
      </c>
      <c r="W24">
        <f t="shared" si="3"/>
        <v>-725.00000000000023</v>
      </c>
      <c r="X24">
        <f t="shared" si="4"/>
        <v>-37.500000000000014</v>
      </c>
      <c r="Y24" s="2">
        <v>2.5000000000000001E-3</v>
      </c>
      <c r="Z24" t="str">
        <f t="shared" si="5"/>
        <v>loss</v>
      </c>
      <c r="AA24">
        <f t="shared" si="6"/>
        <v>-692.00000000000011</v>
      </c>
      <c r="AB24">
        <f t="shared" si="7"/>
        <v>4.0000000000000107</v>
      </c>
      <c r="AC24" s="2">
        <v>2.5999999999999999E-3</v>
      </c>
      <c r="AD24" s="2" t="str">
        <f t="shared" si="8"/>
        <v>loss</v>
      </c>
      <c r="AE24">
        <f t="shared" si="9"/>
        <v>-661.53846153846155</v>
      </c>
      <c r="AF24">
        <f t="shared" si="10"/>
        <v>3.8461538461538396</v>
      </c>
      <c r="AG24" s="2">
        <v>3.0000000000000001E-3</v>
      </c>
      <c r="AH24" s="2" t="str">
        <f t="shared" si="11"/>
        <v>loss</v>
      </c>
      <c r="AI24">
        <f t="shared" si="12"/>
        <v>-560</v>
      </c>
      <c r="AJ24">
        <f t="shared" si="13"/>
        <v>13.333333333333339</v>
      </c>
      <c r="AK24" s="2">
        <v>3.0000000000000001E-3</v>
      </c>
      <c r="AL24" t="str">
        <f t="shared" si="14"/>
        <v>loss</v>
      </c>
      <c r="AM24">
        <f t="shared" si="15"/>
        <v>-560</v>
      </c>
      <c r="AN24">
        <f t="shared" si="16"/>
        <v>0</v>
      </c>
    </row>
    <row r="25" spans="16:40" x14ac:dyDescent="0.2">
      <c r="P25" s="44">
        <v>752</v>
      </c>
      <c r="Q25" s="45">
        <v>9.7799999999999998E-2</v>
      </c>
      <c r="R25" s="2">
        <v>0.18049999999999999</v>
      </c>
      <c r="S25" t="str">
        <f t="shared" si="0"/>
        <v>win</v>
      </c>
      <c r="T25">
        <f t="shared" si="1"/>
        <v>45.81717451523545</v>
      </c>
      <c r="U25" s="2">
        <v>0.183</v>
      </c>
      <c r="V25" s="2" t="str">
        <f t="shared" si="2"/>
        <v>win</v>
      </c>
      <c r="W25">
        <f t="shared" si="3"/>
        <v>46.557377049180324</v>
      </c>
      <c r="X25">
        <f t="shared" si="4"/>
        <v>1.366120218579236</v>
      </c>
      <c r="Y25" s="2">
        <v>0.184</v>
      </c>
      <c r="Z25" t="str">
        <f t="shared" si="5"/>
        <v>win</v>
      </c>
      <c r="AA25">
        <f t="shared" si="6"/>
        <v>46.847826086956523</v>
      </c>
      <c r="AB25">
        <f t="shared" si="7"/>
        <v>0.54347826086956574</v>
      </c>
      <c r="AC25" s="2">
        <v>0.18429999999999999</v>
      </c>
      <c r="AD25" s="2" t="str">
        <f t="shared" si="8"/>
        <v>win</v>
      </c>
      <c r="AE25">
        <f t="shared" si="9"/>
        <v>46.934346174715138</v>
      </c>
      <c r="AF25">
        <f t="shared" si="10"/>
        <v>0.16277807921866236</v>
      </c>
      <c r="AG25" s="2">
        <v>0.18429999999999999</v>
      </c>
      <c r="AH25" s="2" t="str">
        <f t="shared" si="11"/>
        <v>win</v>
      </c>
      <c r="AI25">
        <f t="shared" si="12"/>
        <v>46.934346174715138</v>
      </c>
      <c r="AJ25">
        <f t="shared" si="13"/>
        <v>0</v>
      </c>
      <c r="AK25" s="2">
        <v>0.1835</v>
      </c>
      <c r="AL25" t="str">
        <f t="shared" si="14"/>
        <v>win</v>
      </c>
      <c r="AM25">
        <f t="shared" si="15"/>
        <v>46.702997275204361</v>
      </c>
      <c r="AN25">
        <f t="shared" si="16"/>
        <v>-0.43596730245231341</v>
      </c>
    </row>
    <row r="26" spans="16:40" x14ac:dyDescent="0.2">
      <c r="P26" s="44">
        <v>755</v>
      </c>
      <c r="Q26" s="45">
        <v>0.1716</v>
      </c>
      <c r="R26" s="2">
        <v>0.29299999999999998</v>
      </c>
      <c r="S26" t="str">
        <f t="shared" si="0"/>
        <v>win</v>
      </c>
      <c r="T26">
        <f t="shared" si="1"/>
        <v>41.433447098976103</v>
      </c>
      <c r="U26" s="2">
        <v>0.29320000000000002</v>
      </c>
      <c r="V26" s="2" t="str">
        <f t="shared" si="2"/>
        <v>win</v>
      </c>
      <c r="W26">
        <f t="shared" si="3"/>
        <v>41.473396998635749</v>
      </c>
      <c r="X26">
        <f t="shared" si="4"/>
        <v>6.8212824010925474E-2</v>
      </c>
      <c r="Y26" s="2">
        <v>0.31919999999999998</v>
      </c>
      <c r="Z26" t="str">
        <f t="shared" si="5"/>
        <v>win</v>
      </c>
      <c r="AA26">
        <f t="shared" si="6"/>
        <v>46.240601503759393</v>
      </c>
      <c r="AB26">
        <f t="shared" si="7"/>
        <v>8.1453634085212929</v>
      </c>
      <c r="AC26" s="2">
        <v>0.31119999999999998</v>
      </c>
      <c r="AD26" s="2" t="str">
        <f t="shared" si="8"/>
        <v>win</v>
      </c>
      <c r="AE26">
        <f t="shared" si="9"/>
        <v>44.858611825192796</v>
      </c>
      <c r="AF26">
        <f t="shared" si="10"/>
        <v>-2.5706940874036013</v>
      </c>
      <c r="AG26" s="2">
        <v>0.30690000000000001</v>
      </c>
      <c r="AH26" s="2" t="str">
        <f t="shared" si="11"/>
        <v>win</v>
      </c>
      <c r="AI26">
        <f t="shared" si="12"/>
        <v>44.086021505376344</v>
      </c>
      <c r="AJ26">
        <f t="shared" si="13"/>
        <v>-1.4011078527207463</v>
      </c>
      <c r="AK26" s="2">
        <v>0.30009999999999998</v>
      </c>
      <c r="AL26" t="str">
        <f t="shared" si="14"/>
        <v>win</v>
      </c>
      <c r="AM26">
        <f t="shared" si="15"/>
        <v>42.819060313228917</v>
      </c>
      <c r="AN26">
        <f t="shared" si="16"/>
        <v>-2.2659113628790499</v>
      </c>
    </row>
    <row r="27" spans="16:40" x14ac:dyDescent="0.2">
      <c r="P27" s="44">
        <v>766</v>
      </c>
      <c r="Q27" s="45">
        <v>0.18709999999999999</v>
      </c>
      <c r="R27" s="2">
        <v>0.3226</v>
      </c>
      <c r="S27" t="str">
        <f t="shared" si="0"/>
        <v>win</v>
      </c>
      <c r="T27">
        <f t="shared" si="1"/>
        <v>42.002479851208932</v>
      </c>
      <c r="U27" s="2">
        <v>0.34920000000000001</v>
      </c>
      <c r="V27" s="2" t="str">
        <f t="shared" si="2"/>
        <v>win</v>
      </c>
      <c r="W27">
        <f t="shared" si="3"/>
        <v>46.420389461626584</v>
      </c>
      <c r="X27">
        <f t="shared" si="4"/>
        <v>7.6174112256586515</v>
      </c>
      <c r="Y27" s="2">
        <v>0.33710000000000001</v>
      </c>
      <c r="Z27" t="str">
        <f t="shared" si="5"/>
        <v>win</v>
      </c>
      <c r="AA27">
        <f t="shared" si="6"/>
        <v>44.497181845149811</v>
      </c>
      <c r="AB27">
        <f t="shared" si="7"/>
        <v>-3.589439335508751</v>
      </c>
      <c r="AC27" s="2">
        <v>0.33639999999999998</v>
      </c>
      <c r="AD27" s="2" t="str">
        <f t="shared" si="8"/>
        <v>win</v>
      </c>
      <c r="AE27">
        <f t="shared" si="9"/>
        <v>44.381688466111775</v>
      </c>
      <c r="AF27">
        <f t="shared" si="10"/>
        <v>-0.20808561236624079</v>
      </c>
      <c r="AG27" s="2">
        <v>0.33150000000000002</v>
      </c>
      <c r="AH27" s="2" t="str">
        <f t="shared" si="11"/>
        <v>win</v>
      </c>
      <c r="AI27">
        <f t="shared" si="12"/>
        <v>43.559577677224745</v>
      </c>
      <c r="AJ27">
        <f t="shared" si="13"/>
        <v>-1.4781297134238189</v>
      </c>
      <c r="AK27" s="2">
        <v>0.33460000000000001</v>
      </c>
      <c r="AL27" t="str">
        <f t="shared" si="14"/>
        <v>win</v>
      </c>
      <c r="AM27">
        <f t="shared" si="15"/>
        <v>44.082486551105802</v>
      </c>
      <c r="AN27">
        <f t="shared" si="16"/>
        <v>0.92647937836222105</v>
      </c>
    </row>
    <row r="28" spans="16:40" x14ac:dyDescent="0.2">
      <c r="P28" s="44">
        <v>781</v>
      </c>
      <c r="Q28" s="45">
        <v>4.0899999999999999E-2</v>
      </c>
      <c r="R28" s="2">
        <v>9.0499999999999997E-2</v>
      </c>
      <c r="S28" t="str">
        <f t="shared" si="0"/>
        <v>win</v>
      </c>
      <c r="T28">
        <f t="shared" si="1"/>
        <v>54.806629834254139</v>
      </c>
      <c r="U28" s="2">
        <v>9.11E-2</v>
      </c>
      <c r="V28" s="2" t="str">
        <f t="shared" si="2"/>
        <v>win</v>
      </c>
      <c r="W28">
        <f t="shared" si="3"/>
        <v>55.104281009879251</v>
      </c>
      <c r="X28">
        <f t="shared" si="4"/>
        <v>0.65861690450055244</v>
      </c>
      <c r="Y28" s="2">
        <v>9.1899999999999996E-2</v>
      </c>
      <c r="Z28" t="str">
        <f t="shared" si="5"/>
        <v>win</v>
      </c>
      <c r="AA28">
        <f t="shared" si="6"/>
        <v>55.495103373231771</v>
      </c>
      <c r="AB28">
        <f t="shared" si="7"/>
        <v>0.87051142546245397</v>
      </c>
      <c r="AC28" s="2">
        <v>9.2200000000000004E-2</v>
      </c>
      <c r="AD28" s="2" t="str">
        <f t="shared" si="8"/>
        <v>win</v>
      </c>
      <c r="AE28">
        <f t="shared" si="9"/>
        <v>55.639913232104121</v>
      </c>
      <c r="AF28">
        <f t="shared" si="10"/>
        <v>0.32537960954447787</v>
      </c>
      <c r="AG28" s="2">
        <v>8.8200000000000001E-2</v>
      </c>
      <c r="AH28" s="2" t="str">
        <f t="shared" si="11"/>
        <v>win</v>
      </c>
      <c r="AI28">
        <f t="shared" si="12"/>
        <v>53.628117913832199</v>
      </c>
      <c r="AJ28">
        <f t="shared" si="13"/>
        <v>-4.5351473922902539</v>
      </c>
      <c r="AK28" s="2">
        <v>8.7900000000000006E-2</v>
      </c>
      <c r="AL28" t="str">
        <f t="shared" si="14"/>
        <v>win</v>
      </c>
      <c r="AM28">
        <f t="shared" si="15"/>
        <v>53.469852104664398</v>
      </c>
      <c r="AN28">
        <f t="shared" si="16"/>
        <v>-0.34129692832763903</v>
      </c>
    </row>
    <row r="29" spans="16:40" x14ac:dyDescent="0.2">
      <c r="P29" s="44">
        <v>782</v>
      </c>
      <c r="Q29" s="45">
        <v>0.2127</v>
      </c>
      <c r="R29" s="2">
        <v>0.42520000000000002</v>
      </c>
      <c r="S29" t="str">
        <f t="shared" si="0"/>
        <v>win</v>
      </c>
      <c r="T29">
        <f t="shared" si="1"/>
        <v>49.976481655691444</v>
      </c>
      <c r="U29" s="2">
        <v>0.40579999999999999</v>
      </c>
      <c r="V29" s="2" t="str">
        <f t="shared" si="2"/>
        <v>win</v>
      </c>
      <c r="W29">
        <f t="shared" si="3"/>
        <v>47.585017249876785</v>
      </c>
      <c r="X29">
        <f t="shared" si="4"/>
        <v>-4.7806801379990214</v>
      </c>
      <c r="Y29" s="2">
        <v>0.41010000000000002</v>
      </c>
      <c r="Z29" t="str">
        <f t="shared" si="5"/>
        <v>win</v>
      </c>
      <c r="AA29">
        <f t="shared" si="6"/>
        <v>48.134601316752011</v>
      </c>
      <c r="AB29">
        <f t="shared" si="7"/>
        <v>1.0485247500609669</v>
      </c>
      <c r="AC29" s="2">
        <v>0.4</v>
      </c>
      <c r="AD29" s="2" t="str">
        <f t="shared" si="8"/>
        <v>win</v>
      </c>
      <c r="AE29">
        <f t="shared" si="9"/>
        <v>46.825000000000003</v>
      </c>
      <c r="AF29">
        <f t="shared" si="10"/>
        <v>-2.5249999999999995</v>
      </c>
      <c r="AG29" s="2">
        <v>0.4037</v>
      </c>
      <c r="AH29" s="2" t="str">
        <f t="shared" si="11"/>
        <v>win</v>
      </c>
      <c r="AI29">
        <f t="shared" si="12"/>
        <v>47.312360663859302</v>
      </c>
      <c r="AJ29">
        <f t="shared" si="13"/>
        <v>0.91652216992815971</v>
      </c>
      <c r="AK29" s="2">
        <v>0.39929999999999999</v>
      </c>
      <c r="AL29" t="str">
        <f t="shared" si="14"/>
        <v>win</v>
      </c>
      <c r="AM29">
        <f t="shared" si="15"/>
        <v>46.731780616078133</v>
      </c>
      <c r="AN29">
        <f t="shared" si="16"/>
        <v>-1.1019283746556512</v>
      </c>
    </row>
    <row r="30" spans="16:40" x14ac:dyDescent="0.2">
      <c r="P30" s="44">
        <v>784</v>
      </c>
      <c r="Q30" s="45">
        <v>0.32140000000000002</v>
      </c>
      <c r="R30" s="2">
        <v>0.20830000000000001</v>
      </c>
      <c r="S30" t="str">
        <f t="shared" si="0"/>
        <v>loss</v>
      </c>
      <c r="T30">
        <f t="shared" si="1"/>
        <v>-54.296687469995199</v>
      </c>
      <c r="U30" s="2">
        <v>0.18329999999999999</v>
      </c>
      <c r="V30" s="2" t="str">
        <f t="shared" si="2"/>
        <v>loss</v>
      </c>
      <c r="W30">
        <f t="shared" si="3"/>
        <v>-75.340971085651958</v>
      </c>
      <c r="X30">
        <f t="shared" si="4"/>
        <v>-13.638843426077482</v>
      </c>
      <c r="Y30" s="2">
        <v>0.18329999999999999</v>
      </c>
      <c r="Z30" t="str">
        <f t="shared" si="5"/>
        <v>loss</v>
      </c>
      <c r="AA30">
        <f t="shared" si="6"/>
        <v>-75.340971085651958</v>
      </c>
      <c r="AB30">
        <f t="shared" si="7"/>
        <v>0</v>
      </c>
      <c r="AC30" s="2">
        <v>0.16250000000000001</v>
      </c>
      <c r="AD30" s="2" t="str">
        <f t="shared" si="8"/>
        <v>loss</v>
      </c>
      <c r="AE30">
        <f t="shared" si="9"/>
        <v>-97.784615384615392</v>
      </c>
      <c r="AF30">
        <f t="shared" si="10"/>
        <v>-12.79999999999999</v>
      </c>
      <c r="AG30" s="2">
        <v>0.18329999999999999</v>
      </c>
      <c r="AH30" s="2" t="str">
        <f t="shared" si="11"/>
        <v>loss</v>
      </c>
      <c r="AI30">
        <f t="shared" si="12"/>
        <v>-75.340971085651958</v>
      </c>
      <c r="AJ30">
        <f t="shared" si="13"/>
        <v>11.347517730496447</v>
      </c>
      <c r="AK30" s="2">
        <v>0.16250000000000001</v>
      </c>
      <c r="AL30" t="str">
        <f t="shared" si="14"/>
        <v>loss</v>
      </c>
      <c r="AM30">
        <f t="shared" si="15"/>
        <v>-97.784615384615392</v>
      </c>
      <c r="AN30">
        <f t="shared" si="16"/>
        <v>-12.79999999999999</v>
      </c>
    </row>
    <row r="31" spans="16:40" x14ac:dyDescent="0.2">
      <c r="P31" s="44"/>
      <c r="Q31" s="44"/>
    </row>
    <row r="36" spans="23:23" x14ac:dyDescent="0.2">
      <c r="W36" t="s">
        <v>14</v>
      </c>
    </row>
    <row r="37" spans="23:23" x14ac:dyDescent="0.2">
      <c r="W37" t="s">
        <v>15</v>
      </c>
    </row>
  </sheetData>
  <autoFilter ref="P10:AN30" xr:uid="{993159C4-883D-EF45-8042-F913CCD7B8FE}"/>
  <hyperlinks>
    <hyperlink ref="A2" r:id="rId1" xr:uid="{56A58EE0-C622-214F-B5F4-DF8795C7FAF9}"/>
    <hyperlink ref="A3" r:id="rId2" xr:uid="{FC04430F-8B04-1C4C-8A5D-7D18826EA58A}"/>
    <hyperlink ref="A4" r:id="rId3" xr:uid="{972F81B9-5337-2F43-9916-43F8DDEAED5E}"/>
  </hyperlinks>
  <pageMargins left="0.7" right="0.7" top="0.75" bottom="0.75" header="0.3" footer="0.3"/>
  <pageSetup paperSize="9" orientation="portrait" horizontalDpi="0" verticalDpi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CA11-F47F-2640-A15C-1F608253CCD5}">
  <dimension ref="A1:AJ49"/>
  <sheetViews>
    <sheetView topLeftCell="H9" zoomScale="108" workbookViewId="0">
      <selection activeCell="K16" sqref="K16:L36"/>
    </sheetView>
  </sheetViews>
  <sheetFormatPr baseColWidth="10" defaultColWidth="18.5" defaultRowHeight="16" x14ac:dyDescent="0.2"/>
  <cols>
    <col min="12" max="12" width="20.83203125" customWidth="1"/>
  </cols>
  <sheetData>
    <row r="1" spans="1:36" x14ac:dyDescent="0.2">
      <c r="D1" s="8"/>
    </row>
    <row r="2" spans="1:36" x14ac:dyDescent="0.2">
      <c r="A2" t="s">
        <v>6</v>
      </c>
      <c r="B2">
        <v>0</v>
      </c>
      <c r="C2">
        <v>0.2</v>
      </c>
      <c r="D2" s="4">
        <v>0.4</v>
      </c>
      <c r="E2">
        <v>0.6</v>
      </c>
      <c r="F2">
        <v>0.8</v>
      </c>
      <c r="G2">
        <v>1</v>
      </c>
    </row>
    <row r="3" spans="1:36" x14ac:dyDescent="0.2">
      <c r="A3" s="1" t="s">
        <v>1</v>
      </c>
      <c r="B3" s="2">
        <v>0.52</v>
      </c>
      <c r="C3" s="2">
        <v>0.53</v>
      </c>
      <c r="D3" s="5">
        <v>0.52500000000000002</v>
      </c>
      <c r="E3" s="2">
        <v>0.52</v>
      </c>
      <c r="F3" s="2">
        <v>0.52</v>
      </c>
      <c r="G3" s="2">
        <v>0.48499999999999999</v>
      </c>
    </row>
    <row r="4" spans="1:36" x14ac:dyDescent="0.2">
      <c r="A4" s="1" t="s">
        <v>2</v>
      </c>
      <c r="B4" s="2">
        <v>0.51</v>
      </c>
      <c r="C4" s="2">
        <v>0.52500000000000002</v>
      </c>
      <c r="D4" s="5">
        <v>0.52</v>
      </c>
      <c r="E4" s="2">
        <v>0.50749999999999995</v>
      </c>
      <c r="F4" s="2">
        <v>0.48499999999999999</v>
      </c>
      <c r="G4" s="2">
        <v>0.4375</v>
      </c>
    </row>
    <row r="5" spans="1:36" x14ac:dyDescent="0.2">
      <c r="A5" s="1" t="s">
        <v>3</v>
      </c>
      <c r="B5" s="2">
        <v>0.48830000000000001</v>
      </c>
      <c r="C5" s="2">
        <v>0.5</v>
      </c>
      <c r="D5" s="5">
        <v>0.505</v>
      </c>
      <c r="E5" s="2">
        <v>0.49170000000000003</v>
      </c>
      <c r="F5" s="2">
        <v>0.47</v>
      </c>
      <c r="G5" s="2">
        <v>0.42670000000000002</v>
      </c>
    </row>
    <row r="6" spans="1:36" x14ac:dyDescent="0.2">
      <c r="A6" t="s">
        <v>4</v>
      </c>
      <c r="B6" s="2">
        <v>0.1353</v>
      </c>
      <c r="C6" s="2">
        <v>0.14660000000000001</v>
      </c>
      <c r="D6" s="6">
        <v>0.14729999999999999</v>
      </c>
      <c r="E6" s="2">
        <v>0.1452</v>
      </c>
      <c r="F6" s="2">
        <v>0.14099999999999999</v>
      </c>
      <c r="G6" s="2">
        <v>0.13350000000000001</v>
      </c>
    </row>
    <row r="12" spans="1:36" x14ac:dyDescent="0.2">
      <c r="O12" t="s">
        <v>14</v>
      </c>
      <c r="P12" t="s">
        <v>15</v>
      </c>
    </row>
    <row r="16" spans="1:36" s="11" customFormat="1" x14ac:dyDescent="0.2">
      <c r="K16" s="11" t="s">
        <v>42</v>
      </c>
      <c r="L16" s="11" t="s">
        <v>41</v>
      </c>
      <c r="M16" s="11">
        <v>0</v>
      </c>
      <c r="N16" s="11" t="s">
        <v>13</v>
      </c>
      <c r="O16" s="11" t="s">
        <v>43</v>
      </c>
      <c r="Q16" s="11">
        <v>0.2</v>
      </c>
      <c r="R16" s="11" t="s">
        <v>13</v>
      </c>
      <c r="S16" s="11" t="s">
        <v>36</v>
      </c>
      <c r="T16" s="11" t="s">
        <v>44</v>
      </c>
      <c r="U16" s="11">
        <v>0.4</v>
      </c>
      <c r="V16" s="11" t="s">
        <v>13</v>
      </c>
      <c r="W16" s="11" t="s">
        <v>36</v>
      </c>
      <c r="X16" s="11" t="s">
        <v>44</v>
      </c>
      <c r="Y16" s="11">
        <v>0.6</v>
      </c>
      <c r="Z16" s="11" t="s">
        <v>13</v>
      </c>
      <c r="AA16" s="11" t="s">
        <v>36</v>
      </c>
      <c r="AB16" s="11" t="s">
        <v>44</v>
      </c>
      <c r="AC16" s="11">
        <v>0.8</v>
      </c>
      <c r="AD16" s="11" t="s">
        <v>13</v>
      </c>
      <c r="AE16" s="11" t="s">
        <v>36</v>
      </c>
      <c r="AF16" s="11" t="s">
        <v>44</v>
      </c>
      <c r="AG16" s="11">
        <v>1</v>
      </c>
      <c r="AH16" s="11" t="s">
        <v>13</v>
      </c>
      <c r="AI16" s="11" t="s">
        <v>36</v>
      </c>
      <c r="AJ16" s="11" t="s">
        <v>44</v>
      </c>
    </row>
    <row r="17" spans="11:36" x14ac:dyDescent="0.2">
      <c r="K17">
        <v>704</v>
      </c>
      <c r="L17" s="2">
        <v>2.5000000000000001E-3</v>
      </c>
      <c r="M17">
        <v>0.2109</v>
      </c>
      <c r="N17" t="str">
        <f>IF(M17&gt;L17, O$12, P$12)</f>
        <v>win</v>
      </c>
      <c r="O17">
        <f>(M17-L17)/M17*100</f>
        <v>98.81460407776197</v>
      </c>
      <c r="Q17">
        <v>0.19719999999999999</v>
      </c>
      <c r="R17" t="str">
        <f>IF(Q17&gt;L17, O$12, P$12)</f>
        <v>win</v>
      </c>
      <c r="S17">
        <f>(Q17-L17)/Q17*100</f>
        <v>98.732251521298181</v>
      </c>
      <c r="T17">
        <f>(Q17-M17)/Q17*100</f>
        <v>-6.9472616632860138</v>
      </c>
      <c r="U17">
        <v>0.18659999999999999</v>
      </c>
      <c r="V17" t="str">
        <f>IF(U17&gt;L17, O$12, P$12)</f>
        <v>win</v>
      </c>
      <c r="W17">
        <f>(U17-L17)/U17*100</f>
        <v>98.660235798499457</v>
      </c>
      <c r="X17">
        <f>(U17-Q17)/U17*100</f>
        <v>-5.680600214362272</v>
      </c>
      <c r="Y17">
        <v>0.17730000000000001</v>
      </c>
      <c r="Z17" t="str">
        <f>IF(Y17&gt;L17, O$12, P$12)</f>
        <v>win</v>
      </c>
      <c r="AA17">
        <f>(Y17-L17)/Y17*100</f>
        <v>98.589960518894529</v>
      </c>
      <c r="AB17">
        <f>(Y17-U17)/Y17*100</f>
        <v>-5.2453468697123373</v>
      </c>
      <c r="AC17">
        <v>0.15179999999999999</v>
      </c>
      <c r="AD17" t="str">
        <f>IF(AC17&gt;L17, O$12, P$12)</f>
        <v>win</v>
      </c>
      <c r="AE17">
        <f>(AC17-L17)/AC17*100</f>
        <v>98.353096179183126</v>
      </c>
      <c r="AF17">
        <f>(AC17-Y17)/AC17*100</f>
        <v>-16.798418972332033</v>
      </c>
      <c r="AG17">
        <v>9.2899999999999996E-2</v>
      </c>
      <c r="AH17" t="str">
        <f>IF(AG17&gt;L17, O$12, P$12)</f>
        <v>win</v>
      </c>
      <c r="AI17">
        <f>(AG17-L17)/AG17*100</f>
        <v>97.30893433799784</v>
      </c>
      <c r="AJ17">
        <f>(AG17-AC17)/AG17*100</f>
        <v>-63.401506996770721</v>
      </c>
    </row>
    <row r="18" spans="11:36" x14ac:dyDescent="0.2">
      <c r="K18">
        <v>706</v>
      </c>
      <c r="L18" s="2">
        <v>3.3999999999999998E-3</v>
      </c>
      <c r="M18">
        <v>6.5000000000000002E-2</v>
      </c>
      <c r="N18" t="str">
        <f t="shared" ref="N18:N36" si="0">IF(M18&gt;L18, O$12, P$12)</f>
        <v>win</v>
      </c>
      <c r="O18">
        <f t="shared" ref="O18:O36" si="1">(M18-L18)/M18*100</f>
        <v>94.769230769230774</v>
      </c>
      <c r="Q18">
        <v>6.2799999999999995E-2</v>
      </c>
      <c r="R18" t="str">
        <f t="shared" ref="R18:R36" si="2">IF(Q18&gt;L18, O$12, P$12)</f>
        <v>win</v>
      </c>
      <c r="S18">
        <f t="shared" ref="S18:S36" si="3">(Q18-L18)/Q18*100</f>
        <v>94.585987261146499</v>
      </c>
      <c r="T18">
        <f t="shared" ref="T18:T36" si="4">(Q18-M18)/Q18*100</f>
        <v>-3.5031847133758087</v>
      </c>
      <c r="U18">
        <v>5.5899999999999998E-2</v>
      </c>
      <c r="V18" t="str">
        <f t="shared" ref="V18:V36" si="5">IF(U18&gt;L18, O$12, P$12)</f>
        <v>win</v>
      </c>
      <c r="W18">
        <f t="shared" ref="W18:W36" si="6">(U18-L18)/U18*100</f>
        <v>93.917710196779964</v>
      </c>
      <c r="X18">
        <f t="shared" ref="X18:X36" si="7">(U18-Q18)/U18*100</f>
        <v>-12.34347048300536</v>
      </c>
      <c r="Y18">
        <v>5.6300000000000003E-2</v>
      </c>
      <c r="Z18" t="str">
        <f t="shared" ref="Z18:Z36" si="8">IF(Y18&gt;L18, O$12, P$12)</f>
        <v>win</v>
      </c>
      <c r="AA18">
        <f t="shared" ref="AA18:AA36" si="9">(Y18-L18)/Y18*100</f>
        <v>93.960923623445822</v>
      </c>
      <c r="AB18">
        <f t="shared" ref="AB18:AB36" si="10">(Y18-U18)/Y18*100</f>
        <v>0.71047957371226378</v>
      </c>
      <c r="AC18">
        <v>5.3100000000000001E-2</v>
      </c>
      <c r="AD18" t="str">
        <f t="shared" ref="AD18:AD36" si="11">IF(AC18&gt;L18, O$12, P$12)</f>
        <v>win</v>
      </c>
      <c r="AE18">
        <f t="shared" ref="AE18:AE36" si="12">(AC18-L18)/AC18*100</f>
        <v>93.596986817325799</v>
      </c>
      <c r="AF18">
        <f t="shared" ref="AF18:AF36" si="13">(AC18-Y18)/AC18*100</f>
        <v>-6.0263653483992492</v>
      </c>
      <c r="AG18">
        <v>4.9700000000000001E-2</v>
      </c>
      <c r="AH18" t="str">
        <f t="shared" ref="AH18:AH36" si="14">IF(AG18&gt;L18, O$12, P$12)</f>
        <v>win</v>
      </c>
      <c r="AI18">
        <f t="shared" ref="AI18:AI36" si="15">(AG18-L18)/AG18*100</f>
        <v>93.158953722334005</v>
      </c>
      <c r="AJ18">
        <f t="shared" ref="AJ18:AJ36" si="16">(AG18-AC18)/AG18*100</f>
        <v>-6.8410462776659964</v>
      </c>
    </row>
    <row r="19" spans="11:36" x14ac:dyDescent="0.2">
      <c r="K19">
        <v>709</v>
      </c>
      <c r="L19" s="2">
        <v>0.32379999999999998</v>
      </c>
      <c r="M19">
        <v>0.27539999999999998</v>
      </c>
      <c r="N19" t="str">
        <f t="shared" si="0"/>
        <v>loss</v>
      </c>
      <c r="O19">
        <f t="shared" si="1"/>
        <v>-17.57443718228032</v>
      </c>
      <c r="Q19">
        <v>0.27750000000000002</v>
      </c>
      <c r="R19" t="str">
        <f t="shared" si="2"/>
        <v>loss</v>
      </c>
      <c r="S19">
        <f t="shared" si="3"/>
        <v>-16.684684684684665</v>
      </c>
      <c r="T19">
        <f t="shared" si="4"/>
        <v>0.75675675675677345</v>
      </c>
      <c r="U19">
        <v>0.2792</v>
      </c>
      <c r="V19" t="str">
        <f t="shared" si="5"/>
        <v>loss</v>
      </c>
      <c r="W19">
        <f t="shared" si="6"/>
        <v>-15.974212034383944</v>
      </c>
      <c r="X19">
        <f t="shared" si="7"/>
        <v>0.60888252148996391</v>
      </c>
      <c r="Y19">
        <v>0.27839999999999998</v>
      </c>
      <c r="Z19" t="str">
        <f t="shared" si="8"/>
        <v>loss</v>
      </c>
      <c r="AA19">
        <f t="shared" si="9"/>
        <v>-16.307471264367816</v>
      </c>
      <c r="AB19">
        <f t="shared" si="10"/>
        <v>-0.28735632183908871</v>
      </c>
      <c r="AC19">
        <v>0.29120000000000001</v>
      </c>
      <c r="AD19" t="str">
        <f t="shared" si="11"/>
        <v>loss</v>
      </c>
      <c r="AE19">
        <f t="shared" si="12"/>
        <v>-11.195054945054931</v>
      </c>
      <c r="AF19">
        <f t="shared" si="13"/>
        <v>4.3956043956044066</v>
      </c>
      <c r="AG19">
        <v>0.30009999999999998</v>
      </c>
      <c r="AH19" t="str">
        <f t="shared" si="14"/>
        <v>loss</v>
      </c>
      <c r="AI19">
        <f t="shared" si="15"/>
        <v>-7.8973675441519493</v>
      </c>
      <c r="AJ19">
        <f t="shared" si="16"/>
        <v>2.9656781072975558</v>
      </c>
    </row>
    <row r="20" spans="11:36" x14ac:dyDescent="0.2">
      <c r="K20">
        <v>714</v>
      </c>
      <c r="L20" s="2">
        <v>2.06E-2</v>
      </c>
      <c r="M20">
        <v>1.8E-3</v>
      </c>
      <c r="N20" t="str">
        <f t="shared" si="0"/>
        <v>loss</v>
      </c>
      <c r="O20">
        <f t="shared" si="1"/>
        <v>-1044.4444444444446</v>
      </c>
      <c r="Q20">
        <v>2.5000000000000001E-3</v>
      </c>
      <c r="R20" t="str">
        <f t="shared" si="2"/>
        <v>loss</v>
      </c>
      <c r="S20">
        <f t="shared" si="3"/>
        <v>-724</v>
      </c>
      <c r="T20">
        <f t="shared" si="4"/>
        <v>28.000000000000004</v>
      </c>
      <c r="U20">
        <v>6.1000000000000004E-3</v>
      </c>
      <c r="V20" t="str">
        <f t="shared" si="5"/>
        <v>loss</v>
      </c>
      <c r="W20">
        <f t="shared" si="6"/>
        <v>-237.70491803278685</v>
      </c>
      <c r="X20" s="9">
        <f t="shared" si="7"/>
        <v>59.016393442622949</v>
      </c>
      <c r="Y20">
        <v>1.0200000000000001E-2</v>
      </c>
      <c r="Z20" t="str">
        <f t="shared" si="8"/>
        <v>loss</v>
      </c>
      <c r="AA20">
        <f t="shared" si="9"/>
        <v>-101.96078431372548</v>
      </c>
      <c r="AB20">
        <f t="shared" si="10"/>
        <v>40.196078431372548</v>
      </c>
      <c r="AC20">
        <v>1.2999999999999999E-2</v>
      </c>
      <c r="AD20" t="str">
        <f t="shared" si="11"/>
        <v>loss</v>
      </c>
      <c r="AE20">
        <f t="shared" si="12"/>
        <v>-58.461538461538474</v>
      </c>
      <c r="AF20">
        <f t="shared" si="13"/>
        <v>21.538461538461529</v>
      </c>
      <c r="AG20">
        <v>2.06E-2</v>
      </c>
      <c r="AH20" t="str">
        <f t="shared" si="14"/>
        <v>loss</v>
      </c>
      <c r="AI20">
        <f t="shared" si="15"/>
        <v>0</v>
      </c>
      <c r="AJ20" s="9">
        <f t="shared" si="16"/>
        <v>36.893203883495154</v>
      </c>
    </row>
    <row r="21" spans="11:36" x14ac:dyDescent="0.2">
      <c r="K21">
        <v>716</v>
      </c>
      <c r="L21" s="2">
        <v>2.7000000000000001E-3</v>
      </c>
      <c r="M21">
        <v>3.27E-2</v>
      </c>
      <c r="N21" t="str">
        <f t="shared" si="0"/>
        <v>win</v>
      </c>
      <c r="O21">
        <f t="shared" si="1"/>
        <v>91.743119266055047</v>
      </c>
      <c r="Q21">
        <v>2.52E-2</v>
      </c>
      <c r="R21" t="str">
        <f t="shared" si="2"/>
        <v>win</v>
      </c>
      <c r="S21">
        <f t="shared" si="3"/>
        <v>89.285714285714278</v>
      </c>
      <c r="T21">
        <f t="shared" si="4"/>
        <v>-29.761904761904763</v>
      </c>
      <c r="U21">
        <v>3.0300000000000001E-2</v>
      </c>
      <c r="V21" t="str">
        <f t="shared" si="5"/>
        <v>win</v>
      </c>
      <c r="W21">
        <f t="shared" si="6"/>
        <v>91.089108910891085</v>
      </c>
      <c r="X21">
        <f t="shared" si="7"/>
        <v>16.831683168316832</v>
      </c>
      <c r="Y21">
        <v>2.4500000000000001E-2</v>
      </c>
      <c r="Z21" t="str">
        <f t="shared" si="8"/>
        <v>win</v>
      </c>
      <c r="AA21">
        <f t="shared" si="9"/>
        <v>88.979591836734699</v>
      </c>
      <c r="AB21">
        <f t="shared" si="10"/>
        <v>-23.673469387755102</v>
      </c>
      <c r="AC21">
        <v>2.2599999999999999E-2</v>
      </c>
      <c r="AD21" t="str">
        <f t="shared" si="11"/>
        <v>win</v>
      </c>
      <c r="AE21">
        <f t="shared" si="12"/>
        <v>88.053097345132741</v>
      </c>
      <c r="AF21">
        <f t="shared" si="13"/>
        <v>-8.40707964601771</v>
      </c>
      <c r="AG21">
        <v>2.4299999999999999E-2</v>
      </c>
      <c r="AH21" t="str">
        <f t="shared" si="14"/>
        <v>win</v>
      </c>
      <c r="AI21">
        <f t="shared" si="15"/>
        <v>88.888888888888886</v>
      </c>
      <c r="AJ21">
        <f t="shared" si="16"/>
        <v>6.9958847736625529</v>
      </c>
    </row>
    <row r="22" spans="11:36" x14ac:dyDescent="0.2">
      <c r="K22">
        <v>717</v>
      </c>
      <c r="L22" s="2">
        <v>5.5E-2</v>
      </c>
      <c r="M22">
        <v>6.4500000000000002E-2</v>
      </c>
      <c r="N22" t="str">
        <f t="shared" si="0"/>
        <v>win</v>
      </c>
      <c r="O22">
        <f t="shared" si="1"/>
        <v>14.728682170542637</v>
      </c>
      <c r="Q22">
        <v>5.8299999999999998E-2</v>
      </c>
      <c r="R22" t="str">
        <f t="shared" si="2"/>
        <v>win</v>
      </c>
      <c r="S22">
        <f t="shared" si="3"/>
        <v>5.6603773584905621</v>
      </c>
      <c r="T22">
        <f t="shared" si="4"/>
        <v>-10.634648370497434</v>
      </c>
      <c r="U22">
        <v>5.91E-2</v>
      </c>
      <c r="V22" t="str">
        <f t="shared" si="5"/>
        <v>win</v>
      </c>
      <c r="W22">
        <f t="shared" si="6"/>
        <v>6.9373942470389167</v>
      </c>
      <c r="X22">
        <f t="shared" si="7"/>
        <v>1.3536379018612557</v>
      </c>
      <c r="Y22">
        <v>5.9299999999999999E-2</v>
      </c>
      <c r="Z22" t="str">
        <f t="shared" si="8"/>
        <v>win</v>
      </c>
      <c r="AA22">
        <f t="shared" si="9"/>
        <v>7.2512647554806051</v>
      </c>
      <c r="AB22">
        <f t="shared" si="10"/>
        <v>0.33726812816188667</v>
      </c>
      <c r="AC22">
        <v>5.8400000000000001E-2</v>
      </c>
      <c r="AD22" t="str">
        <f t="shared" si="11"/>
        <v>win</v>
      </c>
      <c r="AE22">
        <f t="shared" si="12"/>
        <v>5.8219178082191787</v>
      </c>
      <c r="AF22">
        <f t="shared" si="13"/>
        <v>-1.5410958904109555</v>
      </c>
      <c r="AG22">
        <v>5.8799999999999998E-2</v>
      </c>
      <c r="AH22" t="str">
        <f t="shared" si="14"/>
        <v>win</v>
      </c>
      <c r="AI22">
        <f t="shared" si="15"/>
        <v>6.4625850340136015</v>
      </c>
      <c r="AJ22">
        <f t="shared" si="16"/>
        <v>0.68027210884353329</v>
      </c>
    </row>
    <row r="23" spans="11:36" x14ac:dyDescent="0.2">
      <c r="K23" s="44">
        <v>721</v>
      </c>
      <c r="L23" s="45">
        <v>6.1000000000000004E-3</v>
      </c>
      <c r="M23">
        <v>5.1400000000000001E-2</v>
      </c>
      <c r="N23" t="str">
        <f t="shared" si="0"/>
        <v>win</v>
      </c>
      <c r="O23">
        <f t="shared" si="1"/>
        <v>88.13229571984435</v>
      </c>
      <c r="Q23">
        <v>5.5E-2</v>
      </c>
      <c r="R23" t="str">
        <f t="shared" si="2"/>
        <v>win</v>
      </c>
      <c r="S23">
        <f t="shared" si="3"/>
        <v>88.909090909090907</v>
      </c>
      <c r="T23">
        <f t="shared" si="4"/>
        <v>6.5454545454545432</v>
      </c>
      <c r="U23">
        <v>5.0200000000000002E-2</v>
      </c>
      <c r="V23" t="str">
        <f t="shared" si="5"/>
        <v>win</v>
      </c>
      <c r="W23">
        <f t="shared" si="6"/>
        <v>87.848605577689241</v>
      </c>
      <c r="X23">
        <f t="shared" si="7"/>
        <v>-9.5617529880478056</v>
      </c>
      <c r="Y23">
        <v>4.6399999999999997E-2</v>
      </c>
      <c r="Z23" t="str">
        <f t="shared" si="8"/>
        <v>win</v>
      </c>
      <c r="AA23">
        <f t="shared" si="9"/>
        <v>86.853448275862064</v>
      </c>
      <c r="AB23">
        <f t="shared" si="10"/>
        <v>-8.1896551724138043</v>
      </c>
      <c r="AC23">
        <v>4.0599999999999997E-2</v>
      </c>
      <c r="AD23" t="str">
        <f t="shared" si="11"/>
        <v>win</v>
      </c>
      <c r="AE23">
        <f t="shared" si="12"/>
        <v>84.975369458128071</v>
      </c>
      <c r="AF23">
        <f t="shared" si="13"/>
        <v>-14.285714285714285</v>
      </c>
      <c r="AG23">
        <v>3.2300000000000002E-2</v>
      </c>
      <c r="AH23" t="str">
        <f t="shared" si="14"/>
        <v>win</v>
      </c>
      <c r="AI23">
        <f t="shared" si="15"/>
        <v>81.114551083591323</v>
      </c>
      <c r="AJ23">
        <f t="shared" si="16"/>
        <v>-25.696594427244563</v>
      </c>
    </row>
    <row r="24" spans="11:36" x14ac:dyDescent="0.2">
      <c r="K24" s="44">
        <v>724</v>
      </c>
      <c r="L24" s="45">
        <v>0.2641</v>
      </c>
      <c r="M24">
        <v>9.1899999999999996E-2</v>
      </c>
      <c r="N24" t="str">
        <f t="shared" si="0"/>
        <v>loss</v>
      </c>
      <c r="O24">
        <f t="shared" si="1"/>
        <v>-187.37758433079438</v>
      </c>
      <c r="Q24">
        <v>0.13780000000000001</v>
      </c>
      <c r="R24" t="str">
        <f t="shared" si="2"/>
        <v>loss</v>
      </c>
      <c r="S24">
        <f t="shared" si="3"/>
        <v>-91.654571843251091</v>
      </c>
      <c r="T24">
        <f t="shared" si="4"/>
        <v>33.309143686502182</v>
      </c>
      <c r="U24">
        <v>0.16109999999999999</v>
      </c>
      <c r="V24" t="str">
        <f t="shared" si="5"/>
        <v>loss</v>
      </c>
      <c r="W24">
        <f t="shared" si="6"/>
        <v>-63.935443823711992</v>
      </c>
      <c r="X24">
        <f t="shared" si="7"/>
        <v>14.463066418373675</v>
      </c>
      <c r="Y24">
        <v>0.17829999999999999</v>
      </c>
      <c r="Z24" t="str">
        <f t="shared" si="8"/>
        <v>loss</v>
      </c>
      <c r="AA24">
        <f t="shared" si="9"/>
        <v>-48.121144139091435</v>
      </c>
      <c r="AB24">
        <f t="shared" si="10"/>
        <v>9.6466629276500253</v>
      </c>
      <c r="AC24">
        <v>0.18609999999999999</v>
      </c>
      <c r="AD24" t="str">
        <f t="shared" si="11"/>
        <v>loss</v>
      </c>
      <c r="AE24">
        <f t="shared" si="12"/>
        <v>-41.912950026867286</v>
      </c>
      <c r="AF24">
        <f t="shared" si="13"/>
        <v>4.1912950026867284</v>
      </c>
      <c r="AG24">
        <v>0.18590000000000001</v>
      </c>
      <c r="AH24" t="str">
        <f t="shared" si="14"/>
        <v>loss</v>
      </c>
      <c r="AI24">
        <f t="shared" si="15"/>
        <v>-42.065626681011295</v>
      </c>
      <c r="AJ24">
        <f t="shared" si="16"/>
        <v>-0.1075847229693265</v>
      </c>
    </row>
    <row r="25" spans="11:36" x14ac:dyDescent="0.2">
      <c r="K25" s="44">
        <v>725</v>
      </c>
      <c r="L25" s="45">
        <v>2.0799999999999999E-2</v>
      </c>
      <c r="M25">
        <v>7.3300000000000004E-2</v>
      </c>
      <c r="N25" t="str">
        <f t="shared" si="0"/>
        <v>win</v>
      </c>
      <c r="O25">
        <f t="shared" si="1"/>
        <v>71.623465211459759</v>
      </c>
      <c r="Q25">
        <v>9.2200000000000004E-2</v>
      </c>
      <c r="R25" t="str">
        <f t="shared" si="2"/>
        <v>win</v>
      </c>
      <c r="S25">
        <f t="shared" si="3"/>
        <v>77.440347071583517</v>
      </c>
      <c r="T25">
        <f t="shared" si="4"/>
        <v>20.498915401301517</v>
      </c>
      <c r="U25">
        <v>9.9900000000000003E-2</v>
      </c>
      <c r="V25" t="str">
        <f t="shared" si="5"/>
        <v>win</v>
      </c>
      <c r="W25">
        <f t="shared" si="6"/>
        <v>79.179179179179187</v>
      </c>
      <c r="X25">
        <f t="shared" si="7"/>
        <v>7.7077077077077059</v>
      </c>
      <c r="Y25">
        <v>0.10730000000000001</v>
      </c>
      <c r="Z25" t="str">
        <f t="shared" si="8"/>
        <v>win</v>
      </c>
      <c r="AA25">
        <f t="shared" si="9"/>
        <v>80.615097856477163</v>
      </c>
      <c r="AB25">
        <f t="shared" si="10"/>
        <v>6.8965517241379342</v>
      </c>
      <c r="AC25">
        <v>0.1085</v>
      </c>
      <c r="AD25" t="str">
        <f t="shared" si="11"/>
        <v>win</v>
      </c>
      <c r="AE25">
        <f t="shared" si="12"/>
        <v>80.829493087557609</v>
      </c>
      <c r="AF25">
        <f t="shared" si="13"/>
        <v>1.1059907834101315</v>
      </c>
      <c r="AG25">
        <v>0.10059999999999999</v>
      </c>
      <c r="AH25" t="str">
        <f t="shared" si="14"/>
        <v>win</v>
      </c>
      <c r="AI25">
        <f t="shared" si="15"/>
        <v>79.324055666003972</v>
      </c>
      <c r="AJ25">
        <f t="shared" si="16"/>
        <v>-7.8528827037773405</v>
      </c>
    </row>
    <row r="26" spans="11:36" x14ac:dyDescent="0.2">
      <c r="K26" s="44">
        <v>729</v>
      </c>
      <c r="L26" s="45">
        <v>0</v>
      </c>
      <c r="M26">
        <v>0</v>
      </c>
      <c r="N26" t="str">
        <f t="shared" si="0"/>
        <v>loss</v>
      </c>
      <c r="O26">
        <v>0</v>
      </c>
      <c r="Q26">
        <v>1.8E-3</v>
      </c>
      <c r="R26" t="str">
        <f t="shared" si="2"/>
        <v>win</v>
      </c>
      <c r="S26">
        <f t="shared" si="3"/>
        <v>100</v>
      </c>
      <c r="T26">
        <f t="shared" si="4"/>
        <v>100</v>
      </c>
      <c r="U26">
        <v>2.5000000000000001E-3</v>
      </c>
      <c r="V26" t="str">
        <f t="shared" si="5"/>
        <v>win</v>
      </c>
      <c r="W26">
        <f t="shared" si="6"/>
        <v>100</v>
      </c>
      <c r="X26">
        <f t="shared" si="7"/>
        <v>28.000000000000004</v>
      </c>
      <c r="Y26">
        <v>3.3999999999999998E-3</v>
      </c>
      <c r="Z26" t="str">
        <f t="shared" si="8"/>
        <v>win</v>
      </c>
      <c r="AA26">
        <f t="shared" si="9"/>
        <v>100</v>
      </c>
      <c r="AB26">
        <f t="shared" si="10"/>
        <v>26.470588235294112</v>
      </c>
      <c r="AC26">
        <v>4.3E-3</v>
      </c>
      <c r="AD26" t="str">
        <f t="shared" si="11"/>
        <v>win</v>
      </c>
      <c r="AE26">
        <f t="shared" si="12"/>
        <v>100</v>
      </c>
      <c r="AF26">
        <f t="shared" si="13"/>
        <v>20.93023255813954</v>
      </c>
      <c r="AG26">
        <v>5.3E-3</v>
      </c>
      <c r="AH26" t="str">
        <f t="shared" si="14"/>
        <v>win</v>
      </c>
      <c r="AI26">
        <f t="shared" si="15"/>
        <v>100</v>
      </c>
      <c r="AJ26">
        <f t="shared" si="16"/>
        <v>18.867924528301888</v>
      </c>
    </row>
    <row r="27" spans="11:36" x14ac:dyDescent="0.2">
      <c r="K27" s="44">
        <v>735</v>
      </c>
      <c r="L27" s="45">
        <v>3.0999999999999999E-3</v>
      </c>
      <c r="M27">
        <v>8.9899999999999994E-2</v>
      </c>
      <c r="N27" t="str">
        <f t="shared" si="0"/>
        <v>win</v>
      </c>
      <c r="O27">
        <f t="shared" si="1"/>
        <v>96.551724137931032</v>
      </c>
      <c r="Q27">
        <v>7.9899999999999999E-2</v>
      </c>
      <c r="R27" t="str">
        <f t="shared" si="2"/>
        <v>win</v>
      </c>
      <c r="S27">
        <f t="shared" si="3"/>
        <v>96.120150187734666</v>
      </c>
      <c r="T27">
        <f t="shared" si="4"/>
        <v>-12.515644555694614</v>
      </c>
      <c r="U27">
        <v>7.3999999999999996E-2</v>
      </c>
      <c r="V27" t="str">
        <f t="shared" si="5"/>
        <v>win</v>
      </c>
      <c r="W27">
        <f t="shared" si="6"/>
        <v>95.810810810810793</v>
      </c>
      <c r="X27">
        <f t="shared" si="7"/>
        <v>-7.9729729729729764</v>
      </c>
      <c r="Y27">
        <v>7.8100000000000003E-2</v>
      </c>
      <c r="Z27" t="str">
        <f t="shared" si="8"/>
        <v>win</v>
      </c>
      <c r="AA27">
        <f t="shared" si="9"/>
        <v>96.030729833546729</v>
      </c>
      <c r="AB27">
        <f t="shared" si="10"/>
        <v>5.2496798975672299</v>
      </c>
      <c r="AC27">
        <v>8.1299999999999997E-2</v>
      </c>
      <c r="AD27" t="str">
        <f t="shared" si="11"/>
        <v>win</v>
      </c>
      <c r="AE27">
        <f t="shared" si="12"/>
        <v>96.186961869618699</v>
      </c>
      <c r="AF27">
        <f t="shared" si="13"/>
        <v>3.9360393603935973</v>
      </c>
      <c r="AG27">
        <v>8.3799999999999999E-2</v>
      </c>
      <c r="AH27" t="str">
        <f t="shared" si="14"/>
        <v>win</v>
      </c>
      <c r="AI27">
        <f t="shared" si="15"/>
        <v>96.300715990453455</v>
      </c>
      <c r="AJ27">
        <f t="shared" si="16"/>
        <v>2.9832935560859215</v>
      </c>
    </row>
    <row r="28" spans="11:36" x14ac:dyDescent="0.2">
      <c r="K28" s="44">
        <v>736</v>
      </c>
      <c r="L28" s="45">
        <v>6.8500000000000005E-2</v>
      </c>
      <c r="M28">
        <v>0.19620000000000001</v>
      </c>
      <c r="N28" t="str">
        <f t="shared" si="0"/>
        <v>win</v>
      </c>
      <c r="O28">
        <f t="shared" si="1"/>
        <v>65.086646279306819</v>
      </c>
      <c r="Q28">
        <v>0.19220000000000001</v>
      </c>
      <c r="R28" t="str">
        <f t="shared" si="2"/>
        <v>win</v>
      </c>
      <c r="S28">
        <f t="shared" si="3"/>
        <v>64.360041623309044</v>
      </c>
      <c r="T28">
        <f t="shared" si="4"/>
        <v>-2.0811654526534875</v>
      </c>
      <c r="U28">
        <v>0.18390000000000001</v>
      </c>
      <c r="V28" t="str">
        <f t="shared" si="5"/>
        <v>win</v>
      </c>
      <c r="W28">
        <f t="shared" si="6"/>
        <v>62.751495377922787</v>
      </c>
      <c r="X28">
        <f t="shared" si="7"/>
        <v>-4.5133224578575319</v>
      </c>
      <c r="Y28">
        <v>0.17130000000000001</v>
      </c>
      <c r="Z28" t="str">
        <f t="shared" si="8"/>
        <v>win</v>
      </c>
      <c r="AA28">
        <f t="shared" si="9"/>
        <v>60.011675423234088</v>
      </c>
      <c r="AB28">
        <f t="shared" si="10"/>
        <v>-7.3555166374781082</v>
      </c>
      <c r="AC28">
        <v>0.1532</v>
      </c>
      <c r="AD28" t="str">
        <f t="shared" si="11"/>
        <v>win</v>
      </c>
      <c r="AE28">
        <f t="shared" si="12"/>
        <v>55.287206266318535</v>
      </c>
      <c r="AF28">
        <f t="shared" si="13"/>
        <v>-11.814621409921674</v>
      </c>
      <c r="AG28">
        <v>0.13200000000000001</v>
      </c>
      <c r="AH28" t="str">
        <f t="shared" si="14"/>
        <v>win</v>
      </c>
      <c r="AI28">
        <f t="shared" si="15"/>
        <v>48.106060606060602</v>
      </c>
      <c r="AJ28">
        <f t="shared" si="16"/>
        <v>-16.060606060606059</v>
      </c>
    </row>
    <row r="29" spans="11:36" x14ac:dyDescent="0.2">
      <c r="K29" s="44">
        <v>738</v>
      </c>
      <c r="L29" s="45">
        <v>0.32050000000000001</v>
      </c>
      <c r="M29">
        <v>0.19239999999999999</v>
      </c>
      <c r="N29" t="str">
        <f t="shared" si="0"/>
        <v>loss</v>
      </c>
      <c r="O29">
        <f t="shared" si="1"/>
        <v>-66.580041580041595</v>
      </c>
      <c r="Q29">
        <v>0.23880000000000001</v>
      </c>
      <c r="R29" t="str">
        <f t="shared" si="2"/>
        <v>loss</v>
      </c>
      <c r="S29">
        <f t="shared" si="3"/>
        <v>-34.212730318257947</v>
      </c>
      <c r="T29">
        <f t="shared" si="4"/>
        <v>19.430485762144063</v>
      </c>
      <c r="U29">
        <v>0.24410000000000001</v>
      </c>
      <c r="V29" t="str">
        <f t="shared" si="5"/>
        <v>loss</v>
      </c>
      <c r="W29">
        <f t="shared" si="6"/>
        <v>-31.298648095043013</v>
      </c>
      <c r="X29">
        <f t="shared" si="7"/>
        <v>2.1712412945514128</v>
      </c>
      <c r="Y29">
        <v>0.2596</v>
      </c>
      <c r="Z29" t="str">
        <f t="shared" si="8"/>
        <v>loss</v>
      </c>
      <c r="AA29">
        <f t="shared" si="9"/>
        <v>-23.459167950693377</v>
      </c>
      <c r="AB29">
        <f t="shared" si="10"/>
        <v>5.9707241910631685</v>
      </c>
      <c r="AC29">
        <v>0.25950000000000001</v>
      </c>
      <c r="AD29" t="str">
        <f t="shared" si="11"/>
        <v>loss</v>
      </c>
      <c r="AE29">
        <f t="shared" si="12"/>
        <v>-23.50674373795761</v>
      </c>
      <c r="AF29">
        <f t="shared" si="13"/>
        <v>-3.8535645472057414E-2</v>
      </c>
      <c r="AG29">
        <v>0.25829999999999997</v>
      </c>
      <c r="AH29" t="str">
        <f t="shared" si="14"/>
        <v>loss</v>
      </c>
      <c r="AI29">
        <f t="shared" si="15"/>
        <v>-24.080526519550922</v>
      </c>
      <c r="AJ29">
        <f t="shared" si="16"/>
        <v>-0.46457607433218523</v>
      </c>
    </row>
    <row r="30" spans="11:36" s="9" customFormat="1" x14ac:dyDescent="0.2">
      <c r="K30" s="9">
        <v>741</v>
      </c>
      <c r="L30" s="43">
        <v>1.9800000000000002E-2</v>
      </c>
      <c r="M30" s="9">
        <v>6.9999999999999999E-4</v>
      </c>
      <c r="N30" s="9" t="str">
        <f t="shared" si="0"/>
        <v>loss</v>
      </c>
      <c r="O30" s="9">
        <f t="shared" si="1"/>
        <v>-2728.5714285714289</v>
      </c>
      <c r="Q30" s="9">
        <v>8.9999999999999998E-4</v>
      </c>
      <c r="R30" s="9" t="str">
        <f t="shared" si="2"/>
        <v>loss</v>
      </c>
      <c r="S30" s="9">
        <f t="shared" si="3"/>
        <v>-2100</v>
      </c>
      <c r="T30" s="9">
        <f t="shared" si="4"/>
        <v>22.222222222222221</v>
      </c>
      <c r="U30" s="9">
        <v>1.9E-3</v>
      </c>
      <c r="V30" s="9" t="str">
        <f t="shared" si="5"/>
        <v>loss</v>
      </c>
      <c r="W30" s="9">
        <f t="shared" si="6"/>
        <v>-942.10526315789491</v>
      </c>
      <c r="X30" s="9">
        <f t="shared" si="7"/>
        <v>52.631578947368418</v>
      </c>
      <c r="Y30" s="9">
        <v>3.5999999999999999E-3</v>
      </c>
      <c r="Z30" s="9" t="str">
        <f t="shared" si="8"/>
        <v>loss</v>
      </c>
      <c r="AA30" s="9">
        <f t="shared" si="9"/>
        <v>-450.00000000000011</v>
      </c>
      <c r="AB30" s="9">
        <f t="shared" si="10"/>
        <v>47.222222222222221</v>
      </c>
      <c r="AC30" s="9">
        <v>7.9000000000000008E-3</v>
      </c>
      <c r="AD30" s="9" t="str">
        <f t="shared" si="11"/>
        <v>loss</v>
      </c>
      <c r="AE30" s="9">
        <f t="shared" si="12"/>
        <v>-150.63291139240508</v>
      </c>
      <c r="AF30" s="9">
        <f t="shared" si="13"/>
        <v>54.430379746835442</v>
      </c>
      <c r="AG30" s="9">
        <v>1.17E-2</v>
      </c>
      <c r="AH30" s="9" t="str">
        <f t="shared" si="14"/>
        <v>loss</v>
      </c>
      <c r="AI30" s="9">
        <f t="shared" si="15"/>
        <v>-69.230769230769241</v>
      </c>
      <c r="AJ30" s="9">
        <f t="shared" si="16"/>
        <v>32.478632478632477</v>
      </c>
    </row>
    <row r="31" spans="11:36" x14ac:dyDescent="0.2">
      <c r="K31" s="44">
        <v>752</v>
      </c>
      <c r="L31" s="45">
        <v>9.7799999999999998E-2</v>
      </c>
      <c r="M31">
        <v>0.1686</v>
      </c>
      <c r="N31" t="str">
        <f t="shared" si="0"/>
        <v>win</v>
      </c>
      <c r="O31">
        <f t="shared" si="1"/>
        <v>41.992882562277586</v>
      </c>
      <c r="Q31">
        <v>0.1787</v>
      </c>
      <c r="R31" t="str">
        <f t="shared" si="2"/>
        <v>win</v>
      </c>
      <c r="S31">
        <f t="shared" si="3"/>
        <v>45.271404588696143</v>
      </c>
      <c r="T31">
        <f t="shared" si="4"/>
        <v>5.6519306099608269</v>
      </c>
      <c r="U31">
        <v>0.1855</v>
      </c>
      <c r="V31" t="str">
        <f t="shared" si="5"/>
        <v>win</v>
      </c>
      <c r="W31">
        <f t="shared" si="6"/>
        <v>47.277628032345014</v>
      </c>
      <c r="X31">
        <f t="shared" si="7"/>
        <v>3.6657681940700813</v>
      </c>
      <c r="Y31">
        <v>0.1835</v>
      </c>
      <c r="Z31" t="str">
        <f t="shared" si="8"/>
        <v>win</v>
      </c>
      <c r="AA31">
        <f t="shared" si="9"/>
        <v>46.702997275204361</v>
      </c>
      <c r="AB31">
        <f t="shared" si="10"/>
        <v>-1.0899182561307912</v>
      </c>
      <c r="AC31">
        <v>0.18099999999999999</v>
      </c>
      <c r="AD31" t="str">
        <f t="shared" si="11"/>
        <v>win</v>
      </c>
      <c r="AE31">
        <f t="shared" si="12"/>
        <v>45.966850828729285</v>
      </c>
      <c r="AF31">
        <f t="shared" si="13"/>
        <v>-1.381215469613261</v>
      </c>
      <c r="AG31">
        <v>0.1804</v>
      </c>
      <c r="AH31" t="str">
        <f t="shared" si="14"/>
        <v>win</v>
      </c>
      <c r="AI31">
        <f t="shared" si="15"/>
        <v>45.787139689578716</v>
      </c>
      <c r="AJ31">
        <f t="shared" si="16"/>
        <v>-0.33259423503325358</v>
      </c>
    </row>
    <row r="32" spans="11:36" x14ac:dyDescent="0.2">
      <c r="K32" s="44">
        <v>755</v>
      </c>
      <c r="L32" s="45">
        <v>0.1716</v>
      </c>
      <c r="M32">
        <v>0.22090000000000001</v>
      </c>
      <c r="N32" t="str">
        <f t="shared" si="0"/>
        <v>win</v>
      </c>
      <c r="O32">
        <f t="shared" si="1"/>
        <v>22.317790855590768</v>
      </c>
      <c r="Q32">
        <v>0.28849999999999998</v>
      </c>
      <c r="R32" t="str">
        <f t="shared" si="2"/>
        <v>win</v>
      </c>
      <c r="S32">
        <f t="shared" si="3"/>
        <v>40.519930675909869</v>
      </c>
      <c r="T32">
        <f t="shared" si="4"/>
        <v>23.43154246100519</v>
      </c>
      <c r="U32">
        <v>0.30109999999999998</v>
      </c>
      <c r="V32" t="str">
        <f t="shared" si="5"/>
        <v>win</v>
      </c>
      <c r="W32">
        <f t="shared" si="6"/>
        <v>43.008967120557948</v>
      </c>
      <c r="X32">
        <f t="shared" si="7"/>
        <v>4.1846562603786124</v>
      </c>
      <c r="Y32">
        <v>0.30209999999999998</v>
      </c>
      <c r="Z32" t="str">
        <f t="shared" si="8"/>
        <v>win</v>
      </c>
      <c r="AA32">
        <f t="shared" si="9"/>
        <v>43.197616683217468</v>
      </c>
      <c r="AB32">
        <f t="shared" si="10"/>
        <v>0.33101621979477025</v>
      </c>
      <c r="AC32">
        <v>0.29949999999999999</v>
      </c>
      <c r="AD32" t="str">
        <f t="shared" si="11"/>
        <v>win</v>
      </c>
      <c r="AE32">
        <f t="shared" si="12"/>
        <v>42.70450751252087</v>
      </c>
      <c r="AF32">
        <f t="shared" si="13"/>
        <v>-0.86811352253755958</v>
      </c>
      <c r="AG32">
        <v>0.28699999999999998</v>
      </c>
      <c r="AH32" t="str">
        <f t="shared" si="14"/>
        <v>win</v>
      </c>
      <c r="AI32">
        <f t="shared" si="15"/>
        <v>40.209059233449473</v>
      </c>
      <c r="AJ32">
        <f t="shared" si="16"/>
        <v>-4.3554006968641161</v>
      </c>
    </row>
    <row r="33" spans="11:36" x14ac:dyDescent="0.2">
      <c r="K33" s="44">
        <v>766</v>
      </c>
      <c r="L33" s="45">
        <v>0.18709999999999999</v>
      </c>
      <c r="M33">
        <v>0.33639999999999998</v>
      </c>
      <c r="N33" t="str">
        <f t="shared" si="0"/>
        <v>win</v>
      </c>
      <c r="O33">
        <f t="shared" si="1"/>
        <v>44.381688466111775</v>
      </c>
      <c r="Q33">
        <v>0.34520000000000001</v>
      </c>
      <c r="R33" t="str">
        <f t="shared" si="2"/>
        <v>win</v>
      </c>
      <c r="S33">
        <f t="shared" si="3"/>
        <v>45.799536500579379</v>
      </c>
      <c r="T33">
        <f t="shared" si="4"/>
        <v>2.5492468134414916</v>
      </c>
      <c r="U33">
        <v>0.34350000000000003</v>
      </c>
      <c r="V33" t="str">
        <f t="shared" si="5"/>
        <v>win</v>
      </c>
      <c r="W33">
        <f t="shared" si="6"/>
        <v>45.531295487627368</v>
      </c>
      <c r="X33">
        <f t="shared" si="7"/>
        <v>-0.49490538573507398</v>
      </c>
      <c r="Y33">
        <v>0.31879999999999997</v>
      </c>
      <c r="Z33" t="str">
        <f t="shared" si="8"/>
        <v>win</v>
      </c>
      <c r="AA33">
        <f t="shared" si="9"/>
        <v>41.311166875784188</v>
      </c>
      <c r="AB33">
        <f t="shared" si="10"/>
        <v>-7.7478042659975088</v>
      </c>
      <c r="AC33">
        <v>0.27739999999999998</v>
      </c>
      <c r="AD33" t="str">
        <f t="shared" si="11"/>
        <v>win</v>
      </c>
      <c r="AE33">
        <f t="shared" si="12"/>
        <v>32.552271088680605</v>
      </c>
      <c r="AF33">
        <f t="shared" si="13"/>
        <v>-14.924297043979811</v>
      </c>
      <c r="AG33">
        <v>0.24210000000000001</v>
      </c>
      <c r="AH33" t="str">
        <f t="shared" si="14"/>
        <v>win</v>
      </c>
      <c r="AI33">
        <f t="shared" si="15"/>
        <v>22.717885171416778</v>
      </c>
      <c r="AJ33">
        <f t="shared" si="16"/>
        <v>-14.580751755472932</v>
      </c>
    </row>
    <row r="34" spans="11:36" x14ac:dyDescent="0.2">
      <c r="K34" s="44">
        <v>781</v>
      </c>
      <c r="L34" s="45">
        <v>4.0899999999999999E-2</v>
      </c>
      <c r="M34">
        <v>9.8000000000000004E-2</v>
      </c>
      <c r="N34" t="str">
        <f t="shared" si="0"/>
        <v>win</v>
      </c>
      <c r="O34">
        <f t="shared" si="1"/>
        <v>58.265306122448976</v>
      </c>
      <c r="Q34">
        <v>9.7500000000000003E-2</v>
      </c>
      <c r="R34" t="str">
        <f t="shared" si="2"/>
        <v>win</v>
      </c>
      <c r="S34">
        <f t="shared" si="3"/>
        <v>58.051282051282051</v>
      </c>
      <c r="T34">
        <f t="shared" si="4"/>
        <v>-0.51282051282051322</v>
      </c>
      <c r="U34">
        <v>9.2600000000000002E-2</v>
      </c>
      <c r="V34" t="str">
        <f t="shared" si="5"/>
        <v>win</v>
      </c>
      <c r="W34">
        <f t="shared" si="6"/>
        <v>55.831533477321813</v>
      </c>
      <c r="X34">
        <f t="shared" si="7"/>
        <v>-5.2915766738660919</v>
      </c>
      <c r="Y34">
        <v>8.48E-2</v>
      </c>
      <c r="Z34" t="str">
        <f t="shared" si="8"/>
        <v>win</v>
      </c>
      <c r="AA34">
        <f t="shared" si="9"/>
        <v>51.768867924528308</v>
      </c>
      <c r="AB34">
        <f t="shared" si="10"/>
        <v>-9.1981132075471717</v>
      </c>
      <c r="AC34">
        <v>8.1500000000000003E-2</v>
      </c>
      <c r="AD34" t="str">
        <f t="shared" si="11"/>
        <v>win</v>
      </c>
      <c r="AE34">
        <f t="shared" si="12"/>
        <v>49.815950920245399</v>
      </c>
      <c r="AF34">
        <f t="shared" si="13"/>
        <v>-4.049079754601224</v>
      </c>
      <c r="AG34">
        <v>8.1500000000000003E-2</v>
      </c>
      <c r="AH34" t="str">
        <f t="shared" si="14"/>
        <v>win</v>
      </c>
      <c r="AI34">
        <f t="shared" si="15"/>
        <v>49.815950920245399</v>
      </c>
      <c r="AJ34">
        <f t="shared" si="16"/>
        <v>0</v>
      </c>
    </row>
    <row r="35" spans="11:36" x14ac:dyDescent="0.2">
      <c r="K35" s="44">
        <v>782</v>
      </c>
      <c r="L35" s="45">
        <v>0.2127</v>
      </c>
      <c r="M35">
        <v>0.42299999999999999</v>
      </c>
      <c r="N35" t="str">
        <f t="shared" si="0"/>
        <v>win</v>
      </c>
      <c r="O35">
        <f t="shared" si="1"/>
        <v>49.716312056737586</v>
      </c>
      <c r="Q35">
        <v>0.4163</v>
      </c>
      <c r="R35" t="str">
        <f t="shared" si="2"/>
        <v>win</v>
      </c>
      <c r="S35">
        <f t="shared" si="3"/>
        <v>48.907038193610376</v>
      </c>
      <c r="T35">
        <f t="shared" si="4"/>
        <v>-1.6094162863319681</v>
      </c>
      <c r="U35">
        <v>0.40479999999999999</v>
      </c>
      <c r="V35" t="str">
        <f t="shared" si="5"/>
        <v>win</v>
      </c>
      <c r="W35">
        <f t="shared" si="6"/>
        <v>47.455533596837945</v>
      </c>
      <c r="X35">
        <f t="shared" si="7"/>
        <v>-2.8409090909090935</v>
      </c>
      <c r="Y35">
        <v>0.39750000000000002</v>
      </c>
      <c r="Z35" t="str">
        <f t="shared" si="8"/>
        <v>win</v>
      </c>
      <c r="AA35">
        <f t="shared" si="9"/>
        <v>46.490566037735853</v>
      </c>
      <c r="AB35">
        <f t="shared" si="10"/>
        <v>-1.8364779874213768</v>
      </c>
      <c r="AC35">
        <v>0.3876</v>
      </c>
      <c r="AD35" t="str">
        <f t="shared" si="11"/>
        <v>win</v>
      </c>
      <c r="AE35">
        <f t="shared" si="12"/>
        <v>45.123839009287927</v>
      </c>
      <c r="AF35">
        <f t="shared" si="13"/>
        <v>-2.5541795665634726</v>
      </c>
      <c r="AG35">
        <v>0.35970000000000002</v>
      </c>
      <c r="AH35" t="str">
        <f t="shared" si="14"/>
        <v>win</v>
      </c>
      <c r="AI35">
        <f t="shared" si="15"/>
        <v>40.867389491242704</v>
      </c>
      <c r="AJ35">
        <f t="shared" si="16"/>
        <v>-7.756463719766467</v>
      </c>
    </row>
    <row r="36" spans="11:36" x14ac:dyDescent="0.2">
      <c r="K36" s="44">
        <v>784</v>
      </c>
      <c r="L36" s="45">
        <v>0.32140000000000002</v>
      </c>
      <c r="M36">
        <v>0.1125</v>
      </c>
      <c r="N36" t="str">
        <f t="shared" si="0"/>
        <v>loss</v>
      </c>
      <c r="O36">
        <f t="shared" si="1"/>
        <v>-185.6888888888889</v>
      </c>
      <c r="Q36">
        <v>0.18329999999999999</v>
      </c>
      <c r="R36" t="str">
        <f t="shared" si="2"/>
        <v>loss</v>
      </c>
      <c r="S36">
        <f t="shared" si="3"/>
        <v>-75.340971085651958</v>
      </c>
      <c r="T36">
        <f t="shared" si="4"/>
        <v>38.625204582651385</v>
      </c>
      <c r="U36">
        <v>0.18329999999999999</v>
      </c>
      <c r="V36" t="str">
        <f t="shared" si="5"/>
        <v>loss</v>
      </c>
      <c r="W36">
        <f t="shared" si="6"/>
        <v>-75.340971085651958</v>
      </c>
      <c r="X36">
        <f t="shared" si="7"/>
        <v>0</v>
      </c>
      <c r="Y36">
        <v>0.16250000000000001</v>
      </c>
      <c r="Z36" t="str">
        <f t="shared" si="8"/>
        <v>loss</v>
      </c>
      <c r="AA36">
        <f t="shared" si="9"/>
        <v>-97.784615384615392</v>
      </c>
      <c r="AB36">
        <f t="shared" si="10"/>
        <v>-12.79999999999999</v>
      </c>
      <c r="AC36">
        <v>0.16250000000000001</v>
      </c>
      <c r="AD36" t="str">
        <f t="shared" si="11"/>
        <v>loss</v>
      </c>
      <c r="AE36">
        <f t="shared" si="12"/>
        <v>-97.784615384615392</v>
      </c>
      <c r="AF36">
        <f t="shared" si="13"/>
        <v>0</v>
      </c>
      <c r="AG36">
        <v>0.16250000000000001</v>
      </c>
      <c r="AH36" t="str">
        <f t="shared" si="14"/>
        <v>loss</v>
      </c>
      <c r="AI36">
        <f t="shared" si="15"/>
        <v>-97.784615384615392</v>
      </c>
      <c r="AJ36">
        <f t="shared" si="16"/>
        <v>0</v>
      </c>
    </row>
    <row r="38" spans="11:36" x14ac:dyDescent="0.2">
      <c r="O38" s="47">
        <v>0.2</v>
      </c>
      <c r="T38" s="47">
        <v>0.11</v>
      </c>
      <c r="X38" s="47">
        <v>7.0000000000000007E-2</v>
      </c>
      <c r="AB38" s="47">
        <v>0.03</v>
      </c>
      <c r="AF38" s="47">
        <v>0.01</v>
      </c>
      <c r="AJ38" s="47">
        <v>-0.02</v>
      </c>
    </row>
    <row r="42" spans="11:36" x14ac:dyDescent="0.2">
      <c r="P42">
        <v>20</v>
      </c>
      <c r="Q42">
        <v>11</v>
      </c>
      <c r="R42">
        <v>7</v>
      </c>
      <c r="S42">
        <v>3</v>
      </c>
      <c r="T42">
        <v>1</v>
      </c>
      <c r="U42">
        <v>-2</v>
      </c>
    </row>
    <row r="44" spans="11:36" x14ac:dyDescent="0.2">
      <c r="L44">
        <v>6.9999999999999999E-4</v>
      </c>
    </row>
    <row r="45" spans="11:36" x14ac:dyDescent="0.2">
      <c r="L45">
        <v>8.9999999999999998E-4</v>
      </c>
    </row>
    <row r="46" spans="11:36" x14ac:dyDescent="0.2">
      <c r="L46">
        <v>1.9E-3</v>
      </c>
    </row>
    <row r="47" spans="11:36" x14ac:dyDescent="0.2">
      <c r="L47">
        <v>3.5999999999999999E-3</v>
      </c>
    </row>
    <row r="48" spans="11:36" x14ac:dyDescent="0.2">
      <c r="L48">
        <v>7.9000000000000008E-3</v>
      </c>
    </row>
    <row r="49" spans="12:12" x14ac:dyDescent="0.2">
      <c r="L49">
        <v>1.17E-2</v>
      </c>
    </row>
  </sheetData>
  <autoFilter ref="Q16:AJ36" xr:uid="{1B06BA42-11D6-C441-A339-8561D7EE6720}"/>
  <hyperlinks>
    <hyperlink ref="A3" r:id="rId1" xr:uid="{802F02BE-6D8B-C542-86CE-0D21C62AD013}"/>
    <hyperlink ref="A4" r:id="rId2" xr:uid="{E7D1A8FA-EDB9-CD46-A844-4E61674FEF49}"/>
    <hyperlink ref="A5" r:id="rId3" xr:uid="{49AAE850-E978-F746-A7E0-80E6C8C8FF26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3555-0D79-F148-AFBA-E3C47984F59C}">
  <dimension ref="A1:AI22"/>
  <sheetViews>
    <sheetView topLeftCell="N9" workbookViewId="0">
      <selection activeCell="AE22" sqref="AE22"/>
    </sheetView>
  </sheetViews>
  <sheetFormatPr baseColWidth="10" defaultRowHeight="16" x14ac:dyDescent="0.2"/>
  <cols>
    <col min="2" max="2" width="15.83203125" customWidth="1"/>
    <col min="4" max="4" width="17.6640625" customWidth="1"/>
  </cols>
  <sheetData>
    <row r="1" spans="1:30" x14ac:dyDescent="0.2">
      <c r="A1" s="13"/>
      <c r="B1" s="14" t="s">
        <v>8</v>
      </c>
      <c r="C1" s="14"/>
      <c r="D1" s="14"/>
      <c r="E1" s="14"/>
      <c r="F1" s="14"/>
      <c r="G1" s="15"/>
    </row>
    <row r="2" spans="1:30" x14ac:dyDescent="0.2">
      <c r="A2" s="16"/>
      <c r="B2" s="17">
        <v>0</v>
      </c>
      <c r="C2" s="17">
        <v>0.2</v>
      </c>
      <c r="D2" s="17" t="s">
        <v>7</v>
      </c>
      <c r="E2" s="17">
        <v>0.6</v>
      </c>
      <c r="F2" s="17">
        <v>0.8</v>
      </c>
      <c r="G2" s="18">
        <v>1</v>
      </c>
    </row>
    <row r="3" spans="1:30" x14ac:dyDescent="0.2">
      <c r="A3" s="19" t="s">
        <v>1</v>
      </c>
      <c r="B3" s="22">
        <v>0.505</v>
      </c>
      <c r="C3" s="22">
        <v>0.48499999999999999</v>
      </c>
      <c r="D3" s="22">
        <v>0.48</v>
      </c>
      <c r="E3" s="23">
        <v>0.45</v>
      </c>
      <c r="F3" s="22">
        <v>0.43</v>
      </c>
      <c r="G3" s="22">
        <v>0</v>
      </c>
    </row>
    <row r="4" spans="1:30" x14ac:dyDescent="0.2">
      <c r="A4" s="19" t="s">
        <v>2</v>
      </c>
      <c r="B4" s="22">
        <v>0.4975</v>
      </c>
      <c r="C4" s="22">
        <v>0.49</v>
      </c>
      <c r="D4" s="22">
        <v>0.48249999999999998</v>
      </c>
      <c r="E4" s="23">
        <v>0.46</v>
      </c>
      <c r="F4" s="22">
        <v>0.45500000000000002</v>
      </c>
      <c r="G4" s="22">
        <v>0</v>
      </c>
    </row>
    <row r="5" spans="1:30" x14ac:dyDescent="0.2">
      <c r="A5" s="19" t="s">
        <v>3</v>
      </c>
      <c r="B5" s="22">
        <v>0.49330000000000002</v>
      </c>
      <c r="C5" s="22">
        <v>0.49</v>
      </c>
      <c r="D5" s="22">
        <v>0.48170000000000002</v>
      </c>
      <c r="E5" s="23">
        <v>0.46329999999999999</v>
      </c>
      <c r="F5" s="22">
        <v>0.435</v>
      </c>
      <c r="G5" s="22">
        <v>0</v>
      </c>
    </row>
    <row r="6" spans="1:30" ht="17" thickBot="1" x14ac:dyDescent="0.25">
      <c r="A6" s="20" t="s">
        <v>4</v>
      </c>
      <c r="B6" s="22">
        <v>0.14000000000000001</v>
      </c>
      <c r="C6" s="22">
        <v>0.1409</v>
      </c>
      <c r="D6" s="22">
        <v>0.1391</v>
      </c>
      <c r="E6" s="23">
        <v>0.13350000000000001</v>
      </c>
      <c r="F6" s="22">
        <v>0.128</v>
      </c>
      <c r="G6" s="22">
        <v>0</v>
      </c>
    </row>
    <row r="7" spans="1:30" x14ac:dyDescent="0.2">
      <c r="A7" s="13"/>
      <c r="B7" s="14" t="s">
        <v>9</v>
      </c>
      <c r="C7" s="14"/>
      <c r="D7" s="14"/>
      <c r="E7" s="14"/>
      <c r="F7" s="14"/>
      <c r="G7" s="15"/>
    </row>
    <row r="8" spans="1:30" x14ac:dyDescent="0.2">
      <c r="A8" s="16"/>
      <c r="B8" s="17">
        <v>0</v>
      </c>
      <c r="C8" s="17">
        <v>0.2</v>
      </c>
      <c r="D8" s="17" t="s">
        <v>7</v>
      </c>
      <c r="E8" s="17">
        <v>0.6</v>
      </c>
      <c r="F8" s="17">
        <v>0.8</v>
      </c>
      <c r="G8" s="18">
        <v>1</v>
      </c>
    </row>
    <row r="9" spans="1:30" x14ac:dyDescent="0.2">
      <c r="A9" s="19" t="s">
        <v>1</v>
      </c>
      <c r="B9" s="23">
        <v>0.52500000000000002</v>
      </c>
      <c r="C9" s="23">
        <v>0.52</v>
      </c>
      <c r="D9" s="23">
        <v>0.51500000000000001</v>
      </c>
      <c r="E9" s="23">
        <v>0.505</v>
      </c>
      <c r="F9" s="23">
        <v>0.47</v>
      </c>
      <c r="G9" s="18">
        <v>0</v>
      </c>
    </row>
    <row r="10" spans="1:30" x14ac:dyDescent="0.2">
      <c r="A10" s="19" t="s">
        <v>2</v>
      </c>
      <c r="B10" s="23">
        <v>0.51570000000000005</v>
      </c>
      <c r="C10" s="23">
        <v>0.51249999999999996</v>
      </c>
      <c r="D10" s="23">
        <v>0.51</v>
      </c>
      <c r="E10" s="23">
        <v>0.505</v>
      </c>
      <c r="F10" s="23">
        <v>0.46250000000000002</v>
      </c>
      <c r="G10" s="18">
        <v>0</v>
      </c>
    </row>
    <row r="11" spans="1:30" x14ac:dyDescent="0.2">
      <c r="A11" s="19" t="s">
        <v>3</v>
      </c>
      <c r="B11" s="23">
        <v>0.51170000000000004</v>
      </c>
      <c r="C11" s="23">
        <v>0.505</v>
      </c>
      <c r="D11" s="23">
        <v>0.49669999999999997</v>
      </c>
      <c r="E11" s="23">
        <v>0.48499999999999999</v>
      </c>
      <c r="F11" s="23">
        <v>0.44829999999999998</v>
      </c>
      <c r="G11" s="18">
        <v>0</v>
      </c>
    </row>
    <row r="12" spans="1:30" ht="17" thickBot="1" x14ac:dyDescent="0.25">
      <c r="A12" s="20" t="s">
        <v>4</v>
      </c>
      <c r="B12" s="21">
        <v>0.1454</v>
      </c>
      <c r="C12" s="21">
        <v>0.14660000000000001</v>
      </c>
      <c r="D12" s="21">
        <v>0.1452</v>
      </c>
      <c r="E12" s="21">
        <v>0.14080000000000001</v>
      </c>
      <c r="F12" s="21">
        <v>0.1346</v>
      </c>
      <c r="G12" s="18">
        <v>0</v>
      </c>
    </row>
    <row r="13" spans="1:30" x14ac:dyDescent="0.2">
      <c r="A13" s="13"/>
      <c r="B13" s="14" t="s">
        <v>10</v>
      </c>
      <c r="C13" s="14"/>
      <c r="D13" s="14"/>
      <c r="E13" s="14"/>
      <c r="F13" s="14"/>
      <c r="G13" s="15"/>
    </row>
    <row r="14" spans="1:30" x14ac:dyDescent="0.2">
      <c r="A14" s="16"/>
      <c r="B14" s="17">
        <v>0</v>
      </c>
      <c r="C14" s="17">
        <v>0.2</v>
      </c>
      <c r="D14" s="17" t="s">
        <v>7</v>
      </c>
      <c r="E14" s="17">
        <v>0.6</v>
      </c>
      <c r="F14" s="17">
        <v>0.8</v>
      </c>
      <c r="G14" s="18">
        <v>1</v>
      </c>
    </row>
    <row r="15" spans="1:30" x14ac:dyDescent="0.2">
      <c r="A15" s="19" t="s">
        <v>1</v>
      </c>
      <c r="B15" s="22">
        <v>0.52</v>
      </c>
      <c r="C15" s="22">
        <v>0.53500000000000003</v>
      </c>
      <c r="D15" s="22">
        <v>0.52</v>
      </c>
      <c r="E15" s="22">
        <v>0.505</v>
      </c>
      <c r="F15" s="22">
        <v>0.5</v>
      </c>
      <c r="G15" s="22">
        <v>0</v>
      </c>
    </row>
    <row r="16" spans="1:30" x14ac:dyDescent="0.2">
      <c r="A16" s="19" t="s">
        <v>2</v>
      </c>
      <c r="B16" s="22">
        <v>0.53</v>
      </c>
      <c r="C16" s="22">
        <v>0.51500000000000001</v>
      </c>
      <c r="D16" s="22">
        <v>0.51249999999999996</v>
      </c>
      <c r="E16" s="22">
        <v>0.51249999999999996</v>
      </c>
      <c r="F16" s="22">
        <v>0.50249999999999995</v>
      </c>
      <c r="G16" s="22">
        <v>0</v>
      </c>
      <c r="AD16">
        <v>0.1358</v>
      </c>
    </row>
    <row r="17" spans="1:35" x14ac:dyDescent="0.2">
      <c r="A17" s="19" t="s">
        <v>3</v>
      </c>
      <c r="B17" s="22">
        <v>0.50670000000000004</v>
      </c>
      <c r="C17" s="22">
        <v>0.50829999999999997</v>
      </c>
      <c r="D17" s="22">
        <v>0.505</v>
      </c>
      <c r="E17" s="22">
        <v>0.495</v>
      </c>
      <c r="F17" s="22">
        <v>0.47670000000000001</v>
      </c>
      <c r="G17" s="22">
        <v>0</v>
      </c>
    </row>
    <row r="18" spans="1:35" ht="17" thickBot="1" x14ac:dyDescent="0.25">
      <c r="A18" s="20" t="s">
        <v>4</v>
      </c>
      <c r="B18" s="22">
        <v>0.14829999999999999</v>
      </c>
      <c r="C18" s="22">
        <v>0.1489</v>
      </c>
      <c r="D18" s="22">
        <v>0.14810000000000001</v>
      </c>
      <c r="E18" s="22">
        <v>0.1447</v>
      </c>
      <c r="F18" s="22">
        <v>0.13930000000000001</v>
      </c>
      <c r="G18" s="22">
        <v>0</v>
      </c>
      <c r="V18" t="s">
        <v>5</v>
      </c>
      <c r="W18">
        <v>0</v>
      </c>
      <c r="X18">
        <v>0.2</v>
      </c>
      <c r="Y18">
        <v>0.4</v>
      </c>
      <c r="Z18">
        <v>0.6</v>
      </c>
      <c r="AA18">
        <v>0.8</v>
      </c>
    </row>
    <row r="19" spans="1:35" x14ac:dyDescent="0.2">
      <c r="V19">
        <v>10</v>
      </c>
      <c r="W19">
        <v>0.14000000000000001</v>
      </c>
      <c r="X19">
        <v>0.1409</v>
      </c>
      <c r="Y19">
        <v>0.1391</v>
      </c>
      <c r="Z19">
        <v>0.13350000000000001</v>
      </c>
      <c r="AA19">
        <v>0.128</v>
      </c>
      <c r="AE19">
        <v>0</v>
      </c>
      <c r="AF19">
        <v>0.2</v>
      </c>
      <c r="AG19">
        <v>0.4</v>
      </c>
      <c r="AH19">
        <v>0.6</v>
      </c>
      <c r="AI19">
        <v>0.8</v>
      </c>
    </row>
    <row r="20" spans="1:35" x14ac:dyDescent="0.2">
      <c r="V20">
        <v>20</v>
      </c>
      <c r="W20">
        <v>0.1454</v>
      </c>
      <c r="X20">
        <v>0.14660000000000001</v>
      </c>
      <c r="Y20">
        <v>0.1452</v>
      </c>
      <c r="Z20">
        <v>0.14080000000000001</v>
      </c>
      <c r="AA20">
        <v>0.1346</v>
      </c>
      <c r="AD20">
        <v>10</v>
      </c>
      <c r="AE20">
        <f>(W19-$AD16)/W19*100</f>
        <v>3.0000000000000067</v>
      </c>
      <c r="AF20">
        <f t="shared" ref="AF20:AI20" si="0">(X19-$AD16)/X19*100</f>
        <v>3.6195883605393853</v>
      </c>
      <c r="AG20">
        <f t="shared" si="0"/>
        <v>2.3723939611790059</v>
      </c>
      <c r="AH20">
        <f t="shared" si="0"/>
        <v>-1.7228464419475626</v>
      </c>
      <c r="AI20">
        <f t="shared" si="0"/>
        <v>-6.0937500000000009</v>
      </c>
    </row>
    <row r="21" spans="1:35" x14ac:dyDescent="0.2">
      <c r="V21">
        <v>30</v>
      </c>
      <c r="W21">
        <v>0.14829999999999999</v>
      </c>
      <c r="X21">
        <v>0.1489</v>
      </c>
      <c r="Y21">
        <v>0.14810000000000001</v>
      </c>
      <c r="Z21">
        <v>0.1447</v>
      </c>
      <c r="AA21">
        <v>0.13930000000000001</v>
      </c>
      <c r="AD21">
        <v>20</v>
      </c>
      <c r="AE21">
        <f>(W20-W19)/W20*100</f>
        <v>3.7138927097661543</v>
      </c>
      <c r="AF21">
        <f t="shared" ref="AF21:AI21" si="1">(X20-X19)/X20*100</f>
        <v>3.8881309686221082</v>
      </c>
      <c r="AG21">
        <f t="shared" si="1"/>
        <v>4.2011019283746514</v>
      </c>
      <c r="AH21">
        <f t="shared" si="1"/>
        <v>5.1846590909090908</v>
      </c>
      <c r="AI21">
        <f t="shared" si="1"/>
        <v>4.9034175334323891</v>
      </c>
    </row>
    <row r="22" spans="1:35" x14ac:dyDescent="0.2">
      <c r="AD22">
        <v>30</v>
      </c>
      <c r="AE22">
        <f>(W21-W20)/W21*100</f>
        <v>1.9554956169925732</v>
      </c>
      <c r="AF22">
        <f t="shared" ref="AF22:AI22" si="2">(X21-X20)/X21*100</f>
        <v>1.5446608462055045</v>
      </c>
      <c r="AG22">
        <f t="shared" si="2"/>
        <v>1.9581363943281658</v>
      </c>
      <c r="AH22">
        <f t="shared" si="2"/>
        <v>2.6952315134761484</v>
      </c>
      <c r="AI22">
        <f t="shared" si="2"/>
        <v>3.3740129217516222</v>
      </c>
    </row>
  </sheetData>
  <mergeCells count="3">
    <mergeCell ref="B1:G1"/>
    <mergeCell ref="B7:G7"/>
    <mergeCell ref="B13:G13"/>
  </mergeCells>
  <hyperlinks>
    <hyperlink ref="A3" r:id="rId1" xr:uid="{292CE3B8-A0C5-5444-AB40-5DBC8A57D68A}"/>
    <hyperlink ref="A4" r:id="rId2" xr:uid="{994F4D1F-13E4-7B40-BB0A-6C40DD8165B3}"/>
    <hyperlink ref="A5" r:id="rId3" xr:uid="{D4DF3A4D-109A-AF46-A728-43FBAE17E2DA}"/>
    <hyperlink ref="A9" r:id="rId4" xr:uid="{8049BC50-4FF6-D749-B376-DE3BAB8C415B}"/>
    <hyperlink ref="A10" r:id="rId5" xr:uid="{C5EBEF2F-7FE5-8C4A-B97C-8B9F0E5CA8AC}"/>
    <hyperlink ref="A11" r:id="rId6" xr:uid="{987E415B-B29C-CC47-931C-7C8AD4EE190D}"/>
    <hyperlink ref="A15" r:id="rId7" xr:uid="{A6FD1607-2414-EF4C-9142-B3B720065941}"/>
    <hyperlink ref="A16" r:id="rId8" xr:uid="{763935E2-3D8A-9A47-9504-91DFFCE18F98}"/>
    <hyperlink ref="A17" r:id="rId9" xr:uid="{A137D669-A725-9F44-8297-57B8AD4EC3DC}"/>
  </hyperlinks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BC43-37E0-744F-AA53-CDA3BDF6B6AD}">
  <dimension ref="A3:N29"/>
  <sheetViews>
    <sheetView zoomScale="143" workbookViewId="0">
      <selection activeCell="D1" sqref="D1:D1048576"/>
    </sheetView>
  </sheetViews>
  <sheetFormatPr baseColWidth="10" defaultRowHeight="16" x14ac:dyDescent="0.2"/>
  <cols>
    <col min="5" max="5" width="13.6640625" bestFit="1" customWidth="1"/>
    <col min="6" max="6" width="13.6640625" customWidth="1"/>
  </cols>
  <sheetData>
    <row r="3" spans="1:14" x14ac:dyDescent="0.2">
      <c r="B3" t="s">
        <v>12</v>
      </c>
      <c r="C3" s="12" t="s">
        <v>20</v>
      </c>
      <c r="D3" s="12"/>
      <c r="E3" s="12"/>
      <c r="F3" s="12"/>
      <c r="G3" s="12" t="s">
        <v>19</v>
      </c>
      <c r="H3" s="12"/>
      <c r="I3" s="12"/>
      <c r="J3" s="12"/>
      <c r="K3" s="12"/>
    </row>
    <row r="4" spans="1:14" x14ac:dyDescent="0.2">
      <c r="B4" t="s">
        <v>12</v>
      </c>
      <c r="C4" t="s">
        <v>11</v>
      </c>
      <c r="D4" t="s">
        <v>13</v>
      </c>
      <c r="E4" t="s">
        <v>17</v>
      </c>
      <c r="F4" t="s">
        <v>13</v>
      </c>
      <c r="G4" t="s">
        <v>18</v>
      </c>
      <c r="H4" t="s">
        <v>13</v>
      </c>
      <c r="I4" t="s">
        <v>32</v>
      </c>
      <c r="J4" t="s">
        <v>18</v>
      </c>
      <c r="K4" t="s">
        <v>13</v>
      </c>
    </row>
    <row r="5" spans="1:14" x14ac:dyDescent="0.2">
      <c r="A5">
        <v>704</v>
      </c>
      <c r="B5" s="2">
        <v>2.5000000000000001E-3</v>
      </c>
      <c r="C5" s="2">
        <v>9.2899999999999996E-2</v>
      </c>
      <c r="D5" t="s">
        <v>14</v>
      </c>
      <c r="E5" s="2">
        <v>0.1285</v>
      </c>
      <c r="F5" s="2" t="str">
        <f>IF(E5&gt;B5, N$10, N$11)</f>
        <v>win</v>
      </c>
      <c r="G5" s="2">
        <v>3.3799999999999997E-2</v>
      </c>
      <c r="H5" t="str">
        <f>IF(G5&gt;B5, N$10, N$11)</f>
        <v>win</v>
      </c>
      <c r="J5" s="2">
        <v>3.32E-2</v>
      </c>
      <c r="K5" t="str">
        <f>IF(J5&gt;B5, N$10, N$11)</f>
        <v>win</v>
      </c>
    </row>
    <row r="6" spans="1:14" x14ac:dyDescent="0.2">
      <c r="A6">
        <v>706</v>
      </c>
      <c r="B6" s="2">
        <v>3.3999999999999998E-3</v>
      </c>
      <c r="C6" s="2">
        <v>4.9700000000000001E-2</v>
      </c>
      <c r="D6" t="s">
        <v>14</v>
      </c>
      <c r="E6" s="2">
        <v>4.2700000000000002E-2</v>
      </c>
      <c r="F6" s="2" t="str">
        <f t="shared" ref="F6:F24" si="0">IF(E6&gt;B6, N$10, N$11)</f>
        <v>win</v>
      </c>
      <c r="G6" s="2">
        <v>4.2999999999999997E-2</v>
      </c>
      <c r="H6" t="str">
        <f t="shared" ref="H6:H24" si="1">IF(G6&gt;B6, N$10, N$11)</f>
        <v>win</v>
      </c>
      <c r="J6" s="2">
        <v>4.53E-2</v>
      </c>
      <c r="K6" t="str">
        <f t="shared" ref="K6:K24" si="2">IF(J6&gt;B6, N$10, N$11)</f>
        <v>win</v>
      </c>
    </row>
    <row r="7" spans="1:14" x14ac:dyDescent="0.2">
      <c r="A7">
        <v>709</v>
      </c>
      <c r="B7" s="2">
        <v>0.32379999999999998</v>
      </c>
      <c r="C7" s="2">
        <v>0.30009999999999998</v>
      </c>
      <c r="D7" t="s">
        <v>15</v>
      </c>
      <c r="E7" s="2">
        <v>0.31969999999999998</v>
      </c>
      <c r="F7" s="2" t="str">
        <f t="shared" si="0"/>
        <v>loss</v>
      </c>
      <c r="G7" s="2">
        <v>0.27350000000000002</v>
      </c>
      <c r="H7" t="str">
        <f t="shared" si="1"/>
        <v>loss</v>
      </c>
      <c r="J7" s="2">
        <v>0.2732</v>
      </c>
      <c r="K7" t="str">
        <f t="shared" si="2"/>
        <v>loss</v>
      </c>
    </row>
    <row r="8" spans="1:14" x14ac:dyDescent="0.2">
      <c r="A8">
        <v>714</v>
      </c>
      <c r="B8" s="2">
        <v>2.06E-2</v>
      </c>
      <c r="C8" s="2">
        <v>2.06E-2</v>
      </c>
      <c r="D8" t="s">
        <v>16</v>
      </c>
      <c r="E8" s="45">
        <v>2.1399999999999999E-2</v>
      </c>
      <c r="F8" s="45" t="str">
        <f t="shared" si="0"/>
        <v>win</v>
      </c>
      <c r="G8" s="45">
        <v>8.2000000000000007E-3</v>
      </c>
      <c r="H8" s="44" t="str">
        <f t="shared" si="1"/>
        <v>loss</v>
      </c>
      <c r="I8" s="44"/>
      <c r="J8" s="45">
        <v>8.0999999999999996E-3</v>
      </c>
      <c r="K8" s="44" t="str">
        <f t="shared" si="2"/>
        <v>loss</v>
      </c>
    </row>
    <row r="9" spans="1:14" x14ac:dyDescent="0.2">
      <c r="A9">
        <v>716</v>
      </c>
      <c r="B9" s="2">
        <v>2.7000000000000001E-3</v>
      </c>
      <c r="C9" s="2">
        <v>2.4299999999999999E-2</v>
      </c>
      <c r="D9" t="s">
        <v>14</v>
      </c>
      <c r="E9" s="2">
        <v>2.46E-2</v>
      </c>
      <c r="F9" s="2" t="str">
        <f t="shared" si="0"/>
        <v>win</v>
      </c>
      <c r="G9" s="2">
        <v>2.81E-2</v>
      </c>
      <c r="H9" t="str">
        <f t="shared" si="1"/>
        <v>win</v>
      </c>
      <c r="J9" s="2">
        <v>3.2500000000000001E-2</v>
      </c>
      <c r="K9" t="str">
        <f t="shared" si="2"/>
        <v>win</v>
      </c>
    </row>
    <row r="10" spans="1:14" x14ac:dyDescent="0.2">
      <c r="A10">
        <v>717</v>
      </c>
      <c r="B10" s="2">
        <v>5.5E-2</v>
      </c>
      <c r="C10" s="2">
        <v>5.8799999999999998E-2</v>
      </c>
      <c r="D10" t="s">
        <v>14</v>
      </c>
      <c r="E10" s="2">
        <v>5.8500000000000003E-2</v>
      </c>
      <c r="F10" s="2" t="str">
        <f t="shared" si="0"/>
        <v>win</v>
      </c>
      <c r="G10" s="2">
        <v>6.1199999999999997E-2</v>
      </c>
      <c r="H10" t="str">
        <f t="shared" si="1"/>
        <v>win</v>
      </c>
      <c r="J10" s="2">
        <v>6.1400000000000003E-2</v>
      </c>
      <c r="K10" t="str">
        <f t="shared" si="2"/>
        <v>win</v>
      </c>
      <c r="N10" t="s">
        <v>14</v>
      </c>
    </row>
    <row r="11" spans="1:14" x14ac:dyDescent="0.2">
      <c r="A11" s="9">
        <v>721</v>
      </c>
      <c r="B11" s="43">
        <v>6.1000000000000004E-3</v>
      </c>
      <c r="C11" s="43">
        <v>3.2300000000000002E-2</v>
      </c>
      <c r="D11" s="9" t="s">
        <v>14</v>
      </c>
      <c r="E11" s="43">
        <v>3.5900000000000001E-2</v>
      </c>
      <c r="F11" s="43" t="str">
        <f t="shared" si="0"/>
        <v>win</v>
      </c>
      <c r="G11" s="2">
        <v>3.0200000000000001E-2</v>
      </c>
      <c r="H11" t="str">
        <f t="shared" si="1"/>
        <v>win</v>
      </c>
      <c r="J11" s="2">
        <v>3.4700000000000002E-2</v>
      </c>
      <c r="K11" t="str">
        <f t="shared" si="2"/>
        <v>win</v>
      </c>
      <c r="N11" t="s">
        <v>15</v>
      </c>
    </row>
    <row r="12" spans="1:14" x14ac:dyDescent="0.2">
      <c r="A12">
        <v>724</v>
      </c>
      <c r="B12" s="2">
        <v>0.2641</v>
      </c>
      <c r="C12" s="2">
        <v>0.18590000000000001</v>
      </c>
      <c r="D12" t="s">
        <v>15</v>
      </c>
      <c r="E12" s="2">
        <v>0.19270000000000001</v>
      </c>
      <c r="F12" s="2" t="str">
        <f t="shared" si="0"/>
        <v>loss</v>
      </c>
      <c r="G12" s="2">
        <v>0.1202</v>
      </c>
      <c r="H12" t="str">
        <f t="shared" si="1"/>
        <v>loss</v>
      </c>
      <c r="J12" s="2">
        <v>0.11899999999999999</v>
      </c>
      <c r="K12" t="str">
        <f t="shared" si="2"/>
        <v>loss</v>
      </c>
    </row>
    <row r="13" spans="1:14" x14ac:dyDescent="0.2">
      <c r="A13">
        <v>725</v>
      </c>
      <c r="B13" s="2">
        <v>2.0799999999999999E-2</v>
      </c>
      <c r="C13" s="2">
        <v>0.10059999999999999</v>
      </c>
      <c r="D13" t="s">
        <v>14</v>
      </c>
      <c r="E13" s="2">
        <v>0.1037</v>
      </c>
      <c r="F13" s="2" t="str">
        <f t="shared" si="0"/>
        <v>win</v>
      </c>
      <c r="G13" s="2">
        <v>8.1100000000000005E-2</v>
      </c>
      <c r="H13" t="str">
        <f t="shared" si="1"/>
        <v>win</v>
      </c>
      <c r="J13" s="2">
        <v>7.7200000000000005E-2</v>
      </c>
      <c r="K13" t="str">
        <f t="shared" si="2"/>
        <v>win</v>
      </c>
    </row>
    <row r="14" spans="1:14" x14ac:dyDescent="0.2">
      <c r="A14">
        <v>729</v>
      </c>
      <c r="B14" s="2">
        <v>0</v>
      </c>
      <c r="C14" s="2">
        <v>5.3E-3</v>
      </c>
      <c r="D14" t="s">
        <v>14</v>
      </c>
      <c r="E14" s="2">
        <v>2.8E-3</v>
      </c>
      <c r="F14" s="2" t="str">
        <f t="shared" si="0"/>
        <v>win</v>
      </c>
      <c r="G14" s="2">
        <v>6.7999999999999996E-3</v>
      </c>
      <c r="H14" t="str">
        <f t="shared" si="1"/>
        <v>win</v>
      </c>
      <c r="J14" s="2">
        <v>4.1999999999999997E-3</v>
      </c>
      <c r="K14" t="str">
        <f t="shared" si="2"/>
        <v>win</v>
      </c>
    </row>
    <row r="15" spans="1:14" x14ac:dyDescent="0.2">
      <c r="A15">
        <v>735</v>
      </c>
      <c r="B15" s="2">
        <v>3.0999999999999999E-3</v>
      </c>
      <c r="C15" s="2">
        <v>8.3799999999999999E-2</v>
      </c>
      <c r="D15" t="s">
        <v>14</v>
      </c>
      <c r="E15" s="2">
        <v>6.3E-2</v>
      </c>
      <c r="F15" s="2" t="str">
        <f t="shared" si="0"/>
        <v>win</v>
      </c>
      <c r="G15" s="2">
        <v>7.5300000000000006E-2</v>
      </c>
      <c r="H15" t="str">
        <f t="shared" si="1"/>
        <v>win</v>
      </c>
      <c r="J15" s="2">
        <v>7.4999999999999997E-2</v>
      </c>
      <c r="K15" t="str">
        <f t="shared" si="2"/>
        <v>win</v>
      </c>
    </row>
    <row r="16" spans="1:14" x14ac:dyDescent="0.2">
      <c r="A16">
        <v>736</v>
      </c>
      <c r="B16" s="2">
        <v>6.8500000000000005E-2</v>
      </c>
      <c r="C16" s="2">
        <v>0.13200000000000001</v>
      </c>
      <c r="D16" t="s">
        <v>14</v>
      </c>
      <c r="E16" s="2">
        <v>0.12130000000000001</v>
      </c>
      <c r="F16" s="2" t="str">
        <f t="shared" si="0"/>
        <v>win</v>
      </c>
      <c r="G16" s="2">
        <v>0.1832</v>
      </c>
      <c r="H16" t="str">
        <f t="shared" si="1"/>
        <v>win</v>
      </c>
      <c r="J16" s="2">
        <v>0.1159</v>
      </c>
      <c r="K16" t="str">
        <f t="shared" si="2"/>
        <v>win</v>
      </c>
    </row>
    <row r="17" spans="1:11" x14ac:dyDescent="0.2">
      <c r="A17">
        <v>738</v>
      </c>
      <c r="B17" s="2">
        <v>0.32050000000000001</v>
      </c>
      <c r="C17" s="2">
        <v>0.25829999999999997</v>
      </c>
      <c r="D17" t="s">
        <v>15</v>
      </c>
      <c r="E17" s="2">
        <v>0.25819999999999999</v>
      </c>
      <c r="F17" s="2" t="str">
        <f t="shared" si="0"/>
        <v>loss</v>
      </c>
      <c r="G17" s="2">
        <v>0.28360000000000002</v>
      </c>
      <c r="H17" t="str">
        <f t="shared" si="1"/>
        <v>loss</v>
      </c>
      <c r="J17" s="2">
        <v>0.28510000000000002</v>
      </c>
      <c r="K17" t="str">
        <f t="shared" si="2"/>
        <v>loss</v>
      </c>
    </row>
    <row r="18" spans="1:11" x14ac:dyDescent="0.2">
      <c r="A18">
        <v>741</v>
      </c>
      <c r="B18" s="2">
        <v>1.9800000000000002E-2</v>
      </c>
      <c r="C18" s="2">
        <v>1.17E-2</v>
      </c>
      <c r="D18" t="s">
        <v>15</v>
      </c>
      <c r="E18" s="43">
        <v>1.17E-2</v>
      </c>
      <c r="F18" s="43" t="str">
        <f t="shared" si="0"/>
        <v>loss</v>
      </c>
      <c r="G18" s="43">
        <v>1.1000000000000001E-3</v>
      </c>
      <c r="H18" s="9" t="str">
        <f t="shared" si="1"/>
        <v>loss</v>
      </c>
      <c r="I18" s="9"/>
      <c r="J18" s="43">
        <v>1.1000000000000001E-3</v>
      </c>
      <c r="K18" s="9" t="str">
        <f t="shared" si="2"/>
        <v>loss</v>
      </c>
    </row>
    <row r="19" spans="1:11" x14ac:dyDescent="0.2">
      <c r="A19">
        <v>752</v>
      </c>
      <c r="B19" s="2">
        <v>9.7799999999999998E-2</v>
      </c>
      <c r="C19" s="2">
        <v>0.1804</v>
      </c>
      <c r="D19" t="s">
        <v>14</v>
      </c>
      <c r="E19" s="2">
        <v>0.1832</v>
      </c>
      <c r="F19" s="2" t="str">
        <f t="shared" si="0"/>
        <v>win</v>
      </c>
      <c r="G19" s="2">
        <v>0.1762</v>
      </c>
      <c r="H19" t="str">
        <f t="shared" si="1"/>
        <v>win</v>
      </c>
      <c r="J19" s="2">
        <v>0.17630000000000001</v>
      </c>
      <c r="K19" t="str">
        <f t="shared" si="2"/>
        <v>win</v>
      </c>
    </row>
    <row r="20" spans="1:11" x14ac:dyDescent="0.2">
      <c r="A20">
        <v>755</v>
      </c>
      <c r="B20" s="2">
        <v>0.1716</v>
      </c>
      <c r="C20" s="2">
        <v>0.28699999999999998</v>
      </c>
      <c r="D20" t="s">
        <v>14</v>
      </c>
      <c r="E20" s="2">
        <v>0.2969</v>
      </c>
      <c r="F20" s="2" t="str">
        <f t="shared" si="0"/>
        <v>win</v>
      </c>
      <c r="G20" s="2">
        <v>0.31969999999999998</v>
      </c>
      <c r="H20" t="str">
        <f t="shared" si="1"/>
        <v>win</v>
      </c>
      <c r="J20" s="2">
        <v>0.31709999999999999</v>
      </c>
      <c r="K20" t="str">
        <f t="shared" si="2"/>
        <v>win</v>
      </c>
    </row>
    <row r="21" spans="1:11" x14ac:dyDescent="0.2">
      <c r="A21">
        <v>766</v>
      </c>
      <c r="B21" s="2">
        <v>0.18709999999999999</v>
      </c>
      <c r="C21" s="2">
        <v>0.24210000000000001</v>
      </c>
      <c r="D21" t="s">
        <v>14</v>
      </c>
      <c r="E21" s="43">
        <v>0.2369</v>
      </c>
      <c r="F21" s="43" t="str">
        <f t="shared" si="0"/>
        <v>win</v>
      </c>
      <c r="G21" s="43">
        <v>0.31690000000000002</v>
      </c>
      <c r="H21" s="9" t="str">
        <f t="shared" si="1"/>
        <v>win</v>
      </c>
      <c r="J21" s="2">
        <v>0.31659999999999999</v>
      </c>
      <c r="K21" t="str">
        <f t="shared" si="2"/>
        <v>win</v>
      </c>
    </row>
    <row r="22" spans="1:11" x14ac:dyDescent="0.2">
      <c r="A22">
        <v>781</v>
      </c>
      <c r="B22" s="2">
        <v>4.0899999999999999E-2</v>
      </c>
      <c r="C22" s="2">
        <v>8.1500000000000003E-2</v>
      </c>
      <c r="D22" t="s">
        <v>14</v>
      </c>
      <c r="E22" s="2">
        <v>8.6400000000000005E-2</v>
      </c>
      <c r="F22" s="2" t="str">
        <f t="shared" si="0"/>
        <v>win</v>
      </c>
      <c r="G22" s="2">
        <v>8.8800000000000004E-2</v>
      </c>
      <c r="H22" t="str">
        <f t="shared" si="1"/>
        <v>win</v>
      </c>
      <c r="J22" s="2">
        <v>8.6400000000000005E-2</v>
      </c>
      <c r="K22" t="str">
        <f t="shared" si="2"/>
        <v>win</v>
      </c>
    </row>
    <row r="23" spans="1:11" x14ac:dyDescent="0.2">
      <c r="A23">
        <v>782</v>
      </c>
      <c r="B23" s="2">
        <v>0.2127</v>
      </c>
      <c r="C23" s="2">
        <v>0.35970000000000002</v>
      </c>
      <c r="D23" t="s">
        <v>14</v>
      </c>
      <c r="E23" s="2">
        <v>0.36530000000000001</v>
      </c>
      <c r="F23" s="2" t="str">
        <f t="shared" si="0"/>
        <v>win</v>
      </c>
      <c r="G23" s="2">
        <v>0.40310000000000001</v>
      </c>
      <c r="H23" t="str">
        <f t="shared" si="1"/>
        <v>win</v>
      </c>
      <c r="J23" s="2">
        <v>0.40339999999999998</v>
      </c>
      <c r="K23" t="str">
        <f t="shared" si="2"/>
        <v>win</v>
      </c>
    </row>
    <row r="24" spans="1:11" x14ac:dyDescent="0.2">
      <c r="A24" s="9">
        <v>784</v>
      </c>
      <c r="B24" s="43">
        <v>0.32140000000000002</v>
      </c>
      <c r="C24" s="43">
        <v>0.16250000000000001</v>
      </c>
      <c r="D24" s="9" t="s">
        <v>15</v>
      </c>
      <c r="E24" s="43">
        <v>0.16250000000000001</v>
      </c>
      <c r="F24" s="43" t="str">
        <f t="shared" si="0"/>
        <v>loss</v>
      </c>
      <c r="G24" s="2">
        <v>0.18329999999999999</v>
      </c>
      <c r="H24" t="str">
        <f t="shared" si="1"/>
        <v>loss</v>
      </c>
      <c r="J24" s="2">
        <v>0.18329999999999999</v>
      </c>
      <c r="K24" t="str">
        <f t="shared" si="2"/>
        <v>loss</v>
      </c>
    </row>
    <row r="25" spans="1:11" x14ac:dyDescent="0.2">
      <c r="B25" s="2"/>
      <c r="C25" s="2" t="s">
        <v>14</v>
      </c>
      <c r="D25" s="24">
        <v>14</v>
      </c>
      <c r="E25" s="2" t="s">
        <v>14</v>
      </c>
      <c r="F25" s="2">
        <v>15</v>
      </c>
      <c r="H25">
        <v>14</v>
      </c>
      <c r="K25">
        <v>14</v>
      </c>
    </row>
    <row r="26" spans="1:11" x14ac:dyDescent="0.2">
      <c r="C26" t="s">
        <v>15</v>
      </c>
      <c r="D26">
        <v>5</v>
      </c>
      <c r="E26" s="2" t="s">
        <v>15</v>
      </c>
      <c r="F26" s="2">
        <v>5</v>
      </c>
      <c r="H26">
        <v>6</v>
      </c>
      <c r="K26">
        <v>6</v>
      </c>
    </row>
    <row r="27" spans="1:11" x14ac:dyDescent="0.2">
      <c r="E27" s="2"/>
      <c r="F27" s="2"/>
    </row>
    <row r="28" spans="1:11" x14ac:dyDescent="0.2">
      <c r="E28" s="2"/>
      <c r="F28" s="2"/>
    </row>
    <row r="29" spans="1:11" x14ac:dyDescent="0.2">
      <c r="E29" s="2"/>
      <c r="F29" s="2"/>
    </row>
  </sheetData>
  <autoFilter ref="A4:N26" xr:uid="{7FAFF756-14F5-9446-A1FF-7A4449B85082}"/>
  <mergeCells count="2">
    <mergeCell ref="G3:K3"/>
    <mergeCell ref="C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212-D774-8646-8D2B-ECEE6ED8D51A}">
  <dimension ref="A4:Q31"/>
  <sheetViews>
    <sheetView topLeftCell="F1" workbookViewId="0">
      <selection activeCell="K5" sqref="K5:K24"/>
    </sheetView>
  </sheetViews>
  <sheetFormatPr baseColWidth="10" defaultColWidth="25" defaultRowHeight="16" x14ac:dyDescent="0.2"/>
  <cols>
    <col min="1" max="1" width="11.5" bestFit="1" customWidth="1"/>
    <col min="2" max="2" width="23.6640625" bestFit="1" customWidth="1"/>
    <col min="3" max="3" width="7.1640625" bestFit="1" customWidth="1"/>
    <col min="4" max="4" width="12.83203125" bestFit="1" customWidth="1"/>
    <col min="5" max="5" width="12.83203125" customWidth="1"/>
    <col min="6" max="6" width="9.1640625" bestFit="1" customWidth="1"/>
    <col min="7" max="7" width="13.1640625" bestFit="1" customWidth="1"/>
    <col min="8" max="8" width="13.1640625" customWidth="1"/>
    <col min="9" max="9" width="9.1640625" bestFit="1" customWidth="1"/>
    <col min="10" max="10" width="12.83203125" bestFit="1" customWidth="1"/>
    <col min="11" max="11" width="12.83203125" customWidth="1"/>
    <col min="12" max="12" width="9.1640625" bestFit="1" customWidth="1"/>
    <col min="13" max="13" width="12.83203125" bestFit="1" customWidth="1"/>
    <col min="14" max="14" width="9.1640625" bestFit="1" customWidth="1"/>
    <col min="15" max="15" width="12.83203125" bestFit="1" customWidth="1"/>
    <col min="16" max="16" width="7.1640625" bestFit="1" customWidth="1"/>
    <col min="17" max="17" width="13.1640625" bestFit="1" customWidth="1"/>
  </cols>
  <sheetData>
    <row r="4" spans="1:17" x14ac:dyDescent="0.2">
      <c r="A4" s="11" t="s">
        <v>42</v>
      </c>
      <c r="B4" s="11" t="s">
        <v>45</v>
      </c>
      <c r="C4" s="11">
        <v>0</v>
      </c>
      <c r="D4" s="11" t="s">
        <v>46</v>
      </c>
      <c r="E4" s="11"/>
      <c r="F4" s="11">
        <v>0.2</v>
      </c>
      <c r="G4" s="11" t="s">
        <v>13</v>
      </c>
      <c r="H4" s="11"/>
      <c r="I4" s="11">
        <v>0.4</v>
      </c>
      <c r="J4" s="11" t="s">
        <v>46</v>
      </c>
      <c r="K4" s="11"/>
      <c r="L4" s="11">
        <v>0.6</v>
      </c>
      <c r="M4" s="11" t="s">
        <v>46</v>
      </c>
      <c r="N4" s="11">
        <v>0.8</v>
      </c>
      <c r="O4" s="11" t="s">
        <v>46</v>
      </c>
      <c r="P4" s="11">
        <v>1</v>
      </c>
      <c r="Q4" s="11" t="s">
        <v>13</v>
      </c>
    </row>
    <row r="5" spans="1:17" x14ac:dyDescent="0.2">
      <c r="A5">
        <v>704</v>
      </c>
      <c r="B5" s="2">
        <v>0.1285</v>
      </c>
      <c r="C5">
        <v>0.1537</v>
      </c>
      <c r="D5" t="str">
        <f>IF(C5&gt;B5, P$30, P$31)</f>
        <v>win</v>
      </c>
      <c r="E5">
        <f>(C5-B5)/C5*100</f>
        <v>16.395575797007155</v>
      </c>
      <c r="F5">
        <v>0.12570000000000001</v>
      </c>
      <c r="G5" t="str">
        <f>IF(F5&gt;B5, P$30, P$31)</f>
        <v>loss</v>
      </c>
      <c r="H5" s="2">
        <f>(F5-B5)/F5*100</f>
        <v>-2.2275258552108168</v>
      </c>
      <c r="I5">
        <v>0.1111</v>
      </c>
      <c r="J5" t="str">
        <f>IF(I5&gt;B5, P$30, P$31)</f>
        <v>loss</v>
      </c>
      <c r="K5">
        <f>(I5-B5)/I5*100</f>
        <v>-15.661566156615661</v>
      </c>
      <c r="L5">
        <v>7.9500000000000001E-2</v>
      </c>
      <c r="M5" t="str">
        <f>IF(L5&gt;B5, P$30, P$31)</f>
        <v>loss</v>
      </c>
      <c r="N5">
        <v>6.3200000000000006E-2</v>
      </c>
      <c r="O5" t="str">
        <f>IF(N5&gt;B5, P$30, P$31)</f>
        <v>loss</v>
      </c>
      <c r="P5">
        <v>0</v>
      </c>
      <c r="Q5" t="str">
        <f>IF(P5&gt;B5, P$30, P$31)</f>
        <v>loss</v>
      </c>
    </row>
    <row r="6" spans="1:17" x14ac:dyDescent="0.2">
      <c r="A6">
        <v>706</v>
      </c>
      <c r="B6" s="2">
        <v>4.2700000000000002E-2</v>
      </c>
      <c r="C6">
        <v>4.9099999999999998E-2</v>
      </c>
      <c r="D6" t="str">
        <f t="shared" ref="D6:D24" si="0">IF(C6&gt;B6, P$30, P$31)</f>
        <v>win</v>
      </c>
      <c r="E6">
        <f t="shared" ref="E6:E24" si="1">(C6-B6)/C6*100</f>
        <v>13.034623217922601</v>
      </c>
      <c r="F6">
        <v>4.8399999999999999E-2</v>
      </c>
      <c r="G6" t="str">
        <f t="shared" ref="G6:G24" si="2">IF(F6&gt;B6, P$30, P$31)</f>
        <v>win</v>
      </c>
      <c r="H6" s="2">
        <f t="shared" ref="H6:H24" si="3">(F6-B6)/F6*100</f>
        <v>11.776859504132226</v>
      </c>
      <c r="I6">
        <v>4.8099999999999997E-2</v>
      </c>
      <c r="J6" t="str">
        <f t="shared" ref="J6:J24" si="4">IF(I6&gt;B6, P$30, P$31)</f>
        <v>win</v>
      </c>
      <c r="K6">
        <f t="shared" ref="K6:K24" si="5">(I6-B6)/I6*100</f>
        <v>11.226611226611217</v>
      </c>
      <c r="L6">
        <v>4.8800000000000003E-2</v>
      </c>
      <c r="M6" t="str">
        <f t="shared" ref="M6:M24" si="6">IF(L6&gt;B6, P$30, P$31)</f>
        <v>win</v>
      </c>
      <c r="N6">
        <v>4.87E-2</v>
      </c>
      <c r="O6" t="str">
        <f t="shared" ref="O6:O24" si="7">IF(N6&gt;B6, P$30, P$31)</f>
        <v>win</v>
      </c>
      <c r="P6">
        <v>0</v>
      </c>
      <c r="Q6" t="str">
        <f t="shared" ref="Q6:Q24" si="8">IF(P6&gt;B6, P$30, P$31)</f>
        <v>loss</v>
      </c>
    </row>
    <row r="7" spans="1:17" x14ac:dyDescent="0.2">
      <c r="A7">
        <v>709</v>
      </c>
      <c r="B7" s="2">
        <v>0.31969999999999998</v>
      </c>
      <c r="C7">
        <v>0.28179999999999999</v>
      </c>
      <c r="D7" t="str">
        <f t="shared" si="0"/>
        <v>loss</v>
      </c>
      <c r="E7">
        <f t="shared" si="1"/>
        <v>-13.449254790631651</v>
      </c>
      <c r="F7">
        <v>0.2782</v>
      </c>
      <c r="G7" t="str">
        <f t="shared" si="2"/>
        <v>loss</v>
      </c>
      <c r="H7" s="2">
        <f t="shared" si="3"/>
        <v>-14.917325664989209</v>
      </c>
      <c r="I7">
        <v>0.26669999999999999</v>
      </c>
      <c r="J7" t="str">
        <f t="shared" si="4"/>
        <v>loss</v>
      </c>
      <c r="K7">
        <f t="shared" si="5"/>
        <v>-19.872515935508059</v>
      </c>
      <c r="L7">
        <v>0.2606</v>
      </c>
      <c r="M7" t="str">
        <f t="shared" si="6"/>
        <v>loss</v>
      </c>
      <c r="N7">
        <v>0.2477</v>
      </c>
      <c r="O7" t="str">
        <f t="shared" si="7"/>
        <v>loss</v>
      </c>
      <c r="P7">
        <v>0</v>
      </c>
      <c r="Q7" t="str">
        <f t="shared" si="8"/>
        <v>loss</v>
      </c>
    </row>
    <row r="8" spans="1:17" x14ac:dyDescent="0.2">
      <c r="A8">
        <v>714</v>
      </c>
      <c r="B8" s="2">
        <v>2.1399999999999999E-2</v>
      </c>
      <c r="C8">
        <v>1.0500000000000001E-2</v>
      </c>
      <c r="D8" t="str">
        <f t="shared" si="0"/>
        <v>loss</v>
      </c>
      <c r="E8">
        <f t="shared" si="1"/>
        <v>-103.8095238095238</v>
      </c>
      <c r="F8">
        <v>1.0699999999999999E-2</v>
      </c>
      <c r="G8" t="str">
        <f t="shared" si="2"/>
        <v>loss</v>
      </c>
      <c r="H8" s="2">
        <f t="shared" si="3"/>
        <v>-100</v>
      </c>
      <c r="I8">
        <v>1.0699999999999999E-2</v>
      </c>
      <c r="J8" t="str">
        <f t="shared" si="4"/>
        <v>loss</v>
      </c>
      <c r="K8">
        <f t="shared" si="5"/>
        <v>-100</v>
      </c>
      <c r="L8">
        <v>9.1999999999999998E-3</v>
      </c>
      <c r="M8" t="str">
        <f t="shared" si="6"/>
        <v>loss</v>
      </c>
      <c r="N8">
        <v>8.5000000000000006E-3</v>
      </c>
      <c r="O8" t="str">
        <f t="shared" si="7"/>
        <v>loss</v>
      </c>
      <c r="P8">
        <v>0</v>
      </c>
      <c r="Q8" t="str">
        <f t="shared" si="8"/>
        <v>loss</v>
      </c>
    </row>
    <row r="9" spans="1:17" x14ac:dyDescent="0.2">
      <c r="A9">
        <v>716</v>
      </c>
      <c r="B9" s="2">
        <v>2.46E-2</v>
      </c>
      <c r="C9">
        <v>2.1399999999999999E-2</v>
      </c>
      <c r="D9" t="str">
        <f t="shared" si="0"/>
        <v>loss</v>
      </c>
      <c r="E9">
        <f t="shared" si="1"/>
        <v>-14.95327102803739</v>
      </c>
      <c r="F9">
        <v>2.9700000000000001E-2</v>
      </c>
      <c r="G9" t="str">
        <f t="shared" si="2"/>
        <v>win</v>
      </c>
      <c r="H9" s="2">
        <f t="shared" si="3"/>
        <v>17.171717171717169</v>
      </c>
      <c r="I9">
        <v>2.1100000000000001E-2</v>
      </c>
      <c r="J9" t="str">
        <f t="shared" si="4"/>
        <v>loss</v>
      </c>
      <c r="K9">
        <f t="shared" si="5"/>
        <v>-16.587677725118478</v>
      </c>
      <c r="L9">
        <v>1.9599999999999999E-2</v>
      </c>
      <c r="M9" t="str">
        <f t="shared" si="6"/>
        <v>loss</v>
      </c>
      <c r="N9">
        <v>2.0500000000000001E-2</v>
      </c>
      <c r="O9" t="str">
        <f t="shared" si="7"/>
        <v>loss</v>
      </c>
      <c r="P9">
        <v>0</v>
      </c>
      <c r="Q9" t="str">
        <f t="shared" si="8"/>
        <v>loss</v>
      </c>
    </row>
    <row r="10" spans="1:17" x14ac:dyDescent="0.2">
      <c r="A10">
        <v>717</v>
      </c>
      <c r="B10" s="2">
        <v>5.8500000000000003E-2</v>
      </c>
      <c r="C10">
        <v>6.6100000000000006E-2</v>
      </c>
      <c r="D10" t="str">
        <f t="shared" si="0"/>
        <v>win</v>
      </c>
      <c r="E10">
        <f t="shared" si="1"/>
        <v>11.497730711043875</v>
      </c>
      <c r="F10">
        <v>6.6000000000000003E-2</v>
      </c>
      <c r="G10" t="str">
        <f t="shared" si="2"/>
        <v>win</v>
      </c>
      <c r="H10" s="2">
        <f t="shared" si="3"/>
        <v>11.363636363636363</v>
      </c>
      <c r="I10">
        <v>6.7100000000000007E-2</v>
      </c>
      <c r="J10" t="str">
        <f t="shared" si="4"/>
        <v>win</v>
      </c>
      <c r="K10">
        <f t="shared" si="5"/>
        <v>12.816691505216099</v>
      </c>
      <c r="L10">
        <v>6.7699999999999996E-2</v>
      </c>
      <c r="M10" t="str">
        <f t="shared" si="6"/>
        <v>win</v>
      </c>
      <c r="N10">
        <v>6.7900000000000002E-2</v>
      </c>
      <c r="O10" t="str">
        <f t="shared" si="7"/>
        <v>win</v>
      </c>
      <c r="P10">
        <v>0</v>
      </c>
      <c r="Q10" t="str">
        <f t="shared" si="8"/>
        <v>loss</v>
      </c>
    </row>
    <row r="11" spans="1:17" x14ac:dyDescent="0.2">
      <c r="A11" s="44">
        <v>721</v>
      </c>
      <c r="B11" s="45">
        <v>3.5900000000000001E-2</v>
      </c>
      <c r="C11">
        <v>5.8000000000000003E-2</v>
      </c>
      <c r="D11" t="str">
        <f t="shared" si="0"/>
        <v>win</v>
      </c>
      <c r="E11">
        <f t="shared" si="1"/>
        <v>38.103448275862064</v>
      </c>
      <c r="F11">
        <v>5.7299999999999997E-2</v>
      </c>
      <c r="G11" t="str">
        <f t="shared" si="2"/>
        <v>win</v>
      </c>
      <c r="H11" s="2">
        <f t="shared" si="3"/>
        <v>37.347294938917969</v>
      </c>
      <c r="I11">
        <v>5.3800000000000001E-2</v>
      </c>
      <c r="J11" t="str">
        <f t="shared" si="4"/>
        <v>win</v>
      </c>
      <c r="K11">
        <f t="shared" si="5"/>
        <v>33.271375464684013</v>
      </c>
      <c r="L11">
        <v>4.48E-2</v>
      </c>
      <c r="M11" t="str">
        <f t="shared" si="6"/>
        <v>win</v>
      </c>
      <c r="N11">
        <v>3.3500000000000002E-2</v>
      </c>
      <c r="O11" t="str">
        <f t="shared" si="7"/>
        <v>loss</v>
      </c>
      <c r="P11">
        <v>0</v>
      </c>
      <c r="Q11" t="str">
        <f t="shared" si="8"/>
        <v>loss</v>
      </c>
    </row>
    <row r="12" spans="1:17" x14ac:dyDescent="0.2">
      <c r="A12" s="44">
        <v>724</v>
      </c>
      <c r="B12" s="45">
        <v>0.19270000000000001</v>
      </c>
      <c r="C12">
        <v>0.1012</v>
      </c>
      <c r="D12" t="str">
        <f t="shared" si="0"/>
        <v>loss</v>
      </c>
      <c r="E12">
        <f t="shared" si="1"/>
        <v>-90.415019762845859</v>
      </c>
      <c r="F12">
        <v>0.11940000000000001</v>
      </c>
      <c r="G12" t="str">
        <f t="shared" si="2"/>
        <v>loss</v>
      </c>
      <c r="H12" s="2">
        <f t="shared" si="3"/>
        <v>-61.390284757118927</v>
      </c>
      <c r="I12">
        <v>0.1114</v>
      </c>
      <c r="J12" t="str">
        <f t="shared" si="4"/>
        <v>loss</v>
      </c>
      <c r="K12">
        <f t="shared" si="5"/>
        <v>-72.980251346499116</v>
      </c>
      <c r="L12">
        <v>9.4200000000000006E-2</v>
      </c>
      <c r="M12" t="str">
        <f t="shared" si="6"/>
        <v>loss</v>
      </c>
      <c r="N12">
        <v>7.6799999999999993E-2</v>
      </c>
      <c r="O12" t="str">
        <f t="shared" si="7"/>
        <v>loss</v>
      </c>
      <c r="P12">
        <v>0</v>
      </c>
      <c r="Q12" t="str">
        <f t="shared" si="8"/>
        <v>loss</v>
      </c>
    </row>
    <row r="13" spans="1:17" x14ac:dyDescent="0.2">
      <c r="A13" s="44">
        <v>725</v>
      </c>
      <c r="B13" s="45">
        <v>0.1037</v>
      </c>
      <c r="C13">
        <v>7.1599999999999997E-2</v>
      </c>
      <c r="D13" t="str">
        <f t="shared" si="0"/>
        <v>loss</v>
      </c>
      <c r="E13">
        <f t="shared" si="1"/>
        <v>-44.832402234636874</v>
      </c>
      <c r="F13">
        <v>7.3499999999999996E-2</v>
      </c>
      <c r="G13" t="str">
        <f t="shared" si="2"/>
        <v>loss</v>
      </c>
      <c r="H13" s="2">
        <f t="shared" si="3"/>
        <v>-41.088435374149668</v>
      </c>
      <c r="I13">
        <v>7.6100000000000001E-2</v>
      </c>
      <c r="J13" t="str">
        <f t="shared" si="4"/>
        <v>loss</v>
      </c>
      <c r="K13">
        <f t="shared" si="5"/>
        <v>-36.268068331143233</v>
      </c>
      <c r="L13">
        <v>7.2700000000000001E-2</v>
      </c>
      <c r="M13" t="str">
        <f t="shared" si="6"/>
        <v>loss</v>
      </c>
      <c r="N13">
        <v>6.7199999999999996E-2</v>
      </c>
      <c r="O13" t="str">
        <f t="shared" si="7"/>
        <v>loss</v>
      </c>
      <c r="P13">
        <v>0</v>
      </c>
      <c r="Q13" t="str">
        <f t="shared" si="8"/>
        <v>loss</v>
      </c>
    </row>
    <row r="14" spans="1:17" x14ac:dyDescent="0.2">
      <c r="A14" s="44">
        <v>729</v>
      </c>
      <c r="B14" s="45">
        <v>2.8E-3</v>
      </c>
      <c r="C14">
        <v>0</v>
      </c>
      <c r="D14" t="str">
        <f t="shared" si="0"/>
        <v>loss</v>
      </c>
      <c r="E14" t="e">
        <f t="shared" si="1"/>
        <v>#DIV/0!</v>
      </c>
      <c r="F14">
        <v>1.8E-3</v>
      </c>
      <c r="G14" t="str">
        <f t="shared" si="2"/>
        <v>loss</v>
      </c>
      <c r="H14" s="2">
        <f t="shared" si="3"/>
        <v>-55.555555555555557</v>
      </c>
      <c r="I14">
        <v>2.5000000000000001E-3</v>
      </c>
      <c r="J14" t="str">
        <f t="shared" si="4"/>
        <v>loss</v>
      </c>
      <c r="K14">
        <f t="shared" si="5"/>
        <v>-11.999999999999996</v>
      </c>
      <c r="L14">
        <v>3.3E-3</v>
      </c>
      <c r="M14" t="str">
        <f t="shared" si="6"/>
        <v>win</v>
      </c>
      <c r="N14">
        <v>4.5999999999999999E-3</v>
      </c>
      <c r="O14" t="str">
        <f t="shared" si="7"/>
        <v>win</v>
      </c>
      <c r="P14">
        <v>0</v>
      </c>
      <c r="Q14" t="str">
        <f t="shared" si="8"/>
        <v>loss</v>
      </c>
    </row>
    <row r="15" spans="1:17" x14ac:dyDescent="0.2">
      <c r="A15" s="44">
        <v>735</v>
      </c>
      <c r="B15" s="45">
        <v>6.3E-2</v>
      </c>
      <c r="C15">
        <v>6.54E-2</v>
      </c>
      <c r="D15" t="str">
        <f t="shared" si="0"/>
        <v>win</v>
      </c>
      <c r="E15">
        <f t="shared" si="1"/>
        <v>3.6697247706422007</v>
      </c>
      <c r="F15">
        <v>6.7100000000000007E-2</v>
      </c>
      <c r="G15" t="str">
        <f t="shared" si="2"/>
        <v>win</v>
      </c>
      <c r="H15" s="2">
        <f t="shared" si="3"/>
        <v>6.1102831594634965</v>
      </c>
      <c r="I15">
        <v>7.4399999999999994E-2</v>
      </c>
      <c r="J15" t="str">
        <f t="shared" si="4"/>
        <v>win</v>
      </c>
      <c r="K15">
        <f t="shared" si="5"/>
        <v>15.322580645161283</v>
      </c>
      <c r="L15">
        <v>7.8100000000000003E-2</v>
      </c>
      <c r="M15" t="str">
        <f t="shared" si="6"/>
        <v>win</v>
      </c>
      <c r="N15">
        <v>9.4799999999999995E-2</v>
      </c>
      <c r="O15" t="str">
        <f t="shared" si="7"/>
        <v>win</v>
      </c>
      <c r="P15">
        <v>0</v>
      </c>
      <c r="Q15" t="str">
        <f t="shared" si="8"/>
        <v>loss</v>
      </c>
    </row>
    <row r="16" spans="1:17" x14ac:dyDescent="0.2">
      <c r="A16" s="44">
        <v>736</v>
      </c>
      <c r="B16" s="45">
        <v>0.12130000000000001</v>
      </c>
      <c r="C16">
        <v>0.1497</v>
      </c>
      <c r="D16" t="str">
        <f t="shared" si="0"/>
        <v>win</v>
      </c>
      <c r="E16">
        <f t="shared" si="1"/>
        <v>18.971275885103537</v>
      </c>
      <c r="F16">
        <v>0.15409999999999999</v>
      </c>
      <c r="G16" t="str">
        <f t="shared" si="2"/>
        <v>win</v>
      </c>
      <c r="H16" s="2">
        <f t="shared" si="3"/>
        <v>21.284879948085649</v>
      </c>
      <c r="I16">
        <v>0.15590000000000001</v>
      </c>
      <c r="J16" t="str">
        <f t="shared" si="4"/>
        <v>win</v>
      </c>
      <c r="K16">
        <f t="shared" si="5"/>
        <v>22.193713919178961</v>
      </c>
      <c r="L16">
        <v>0.15920000000000001</v>
      </c>
      <c r="M16" t="str">
        <f t="shared" si="6"/>
        <v>win</v>
      </c>
      <c r="N16">
        <v>0.1668</v>
      </c>
      <c r="O16" t="str">
        <f t="shared" si="7"/>
        <v>win</v>
      </c>
      <c r="P16">
        <v>0</v>
      </c>
      <c r="Q16" t="str">
        <f t="shared" si="8"/>
        <v>loss</v>
      </c>
    </row>
    <row r="17" spans="1:17" x14ac:dyDescent="0.2">
      <c r="A17" s="44">
        <v>738</v>
      </c>
      <c r="B17" s="45">
        <v>0.25819999999999999</v>
      </c>
      <c r="C17">
        <v>0.24479999999999999</v>
      </c>
      <c r="D17" t="str">
        <f t="shared" si="0"/>
        <v>loss</v>
      </c>
      <c r="E17">
        <f t="shared" si="1"/>
        <v>-5.4738562091503251</v>
      </c>
      <c r="F17">
        <v>0.24859999999999999</v>
      </c>
      <c r="G17" t="str">
        <f t="shared" si="2"/>
        <v>loss</v>
      </c>
      <c r="H17" s="2">
        <f t="shared" si="3"/>
        <v>-3.8616251005631526</v>
      </c>
      <c r="I17">
        <v>0.25359999999999999</v>
      </c>
      <c r="J17" t="str">
        <f t="shared" si="4"/>
        <v>loss</v>
      </c>
      <c r="K17">
        <f t="shared" si="5"/>
        <v>-1.8138801261829627</v>
      </c>
      <c r="L17">
        <v>0.25540000000000002</v>
      </c>
      <c r="M17" t="str">
        <f t="shared" si="6"/>
        <v>loss</v>
      </c>
      <c r="N17">
        <v>0.26079999999999998</v>
      </c>
      <c r="O17" t="str">
        <f t="shared" si="7"/>
        <v>win</v>
      </c>
      <c r="P17">
        <v>0</v>
      </c>
      <c r="Q17" t="str">
        <f t="shared" si="8"/>
        <v>loss</v>
      </c>
    </row>
    <row r="18" spans="1:17" x14ac:dyDescent="0.2">
      <c r="A18" s="9">
        <v>741</v>
      </c>
      <c r="B18" s="43">
        <v>1.17E-2</v>
      </c>
      <c r="C18">
        <v>1.4E-3</v>
      </c>
      <c r="D18" t="str">
        <f t="shared" si="0"/>
        <v>loss</v>
      </c>
      <c r="E18">
        <f t="shared" si="1"/>
        <v>-735.71428571428578</v>
      </c>
      <c r="F18">
        <v>1E-3</v>
      </c>
      <c r="G18" t="str">
        <f t="shared" si="2"/>
        <v>loss</v>
      </c>
      <c r="H18" s="2">
        <f t="shared" si="3"/>
        <v>-1070</v>
      </c>
      <c r="I18">
        <v>1E-3</v>
      </c>
      <c r="J18" t="str">
        <f t="shared" si="4"/>
        <v>loss</v>
      </c>
      <c r="K18">
        <f t="shared" si="5"/>
        <v>-1070</v>
      </c>
      <c r="L18">
        <v>2.2000000000000001E-3</v>
      </c>
      <c r="M18" t="str">
        <f t="shared" si="6"/>
        <v>loss</v>
      </c>
      <c r="N18">
        <v>2.5000000000000001E-3</v>
      </c>
      <c r="O18" t="str">
        <f t="shared" si="7"/>
        <v>loss</v>
      </c>
      <c r="P18">
        <v>2.9999999999999997E-4</v>
      </c>
      <c r="Q18" t="str">
        <f t="shared" si="8"/>
        <v>loss</v>
      </c>
    </row>
    <row r="19" spans="1:17" x14ac:dyDescent="0.2">
      <c r="A19" s="44">
        <v>752</v>
      </c>
      <c r="B19" s="45">
        <v>0.1832</v>
      </c>
      <c r="C19">
        <v>0.1905</v>
      </c>
      <c r="D19" t="str">
        <f t="shared" si="0"/>
        <v>win</v>
      </c>
      <c r="E19">
        <f t="shared" si="1"/>
        <v>3.8320209973753285</v>
      </c>
      <c r="F19">
        <v>0.1895</v>
      </c>
      <c r="G19" t="str">
        <f t="shared" si="2"/>
        <v>win</v>
      </c>
      <c r="H19" s="2">
        <f t="shared" si="3"/>
        <v>3.3245382585751977</v>
      </c>
      <c r="I19">
        <v>0.185</v>
      </c>
      <c r="J19" t="str">
        <f t="shared" si="4"/>
        <v>win</v>
      </c>
      <c r="K19">
        <f t="shared" si="5"/>
        <v>0.97297297297297081</v>
      </c>
      <c r="L19">
        <v>0.1759</v>
      </c>
      <c r="M19" t="str">
        <f t="shared" si="6"/>
        <v>loss</v>
      </c>
      <c r="N19">
        <v>0.1585</v>
      </c>
      <c r="O19" t="str">
        <f t="shared" si="7"/>
        <v>loss</v>
      </c>
      <c r="P19">
        <v>0</v>
      </c>
      <c r="Q19" t="str">
        <f t="shared" si="8"/>
        <v>loss</v>
      </c>
    </row>
    <row r="20" spans="1:17" x14ac:dyDescent="0.2">
      <c r="A20" s="44">
        <v>755</v>
      </c>
      <c r="B20" s="45">
        <v>0.2969</v>
      </c>
      <c r="C20">
        <v>0.30309999999999998</v>
      </c>
      <c r="D20" t="str">
        <f t="shared" si="0"/>
        <v>win</v>
      </c>
      <c r="E20">
        <f t="shared" si="1"/>
        <v>2.0455295282085064</v>
      </c>
      <c r="F20">
        <v>0.3004</v>
      </c>
      <c r="G20" t="str">
        <f t="shared" si="2"/>
        <v>win</v>
      </c>
      <c r="H20" s="2">
        <f t="shared" si="3"/>
        <v>1.1651131824234364</v>
      </c>
      <c r="I20">
        <v>0.29870000000000002</v>
      </c>
      <c r="J20" t="str">
        <f t="shared" si="4"/>
        <v>win</v>
      </c>
      <c r="K20">
        <f t="shared" si="5"/>
        <v>0.60261131570138049</v>
      </c>
      <c r="L20">
        <v>0.28820000000000001</v>
      </c>
      <c r="M20" t="str">
        <f t="shared" si="6"/>
        <v>loss</v>
      </c>
      <c r="N20">
        <v>0.28360000000000002</v>
      </c>
      <c r="O20" t="str">
        <f t="shared" si="7"/>
        <v>loss</v>
      </c>
      <c r="P20">
        <v>0</v>
      </c>
      <c r="Q20" t="str">
        <f t="shared" si="8"/>
        <v>loss</v>
      </c>
    </row>
    <row r="21" spans="1:17" x14ac:dyDescent="0.2">
      <c r="A21" s="44">
        <v>766</v>
      </c>
      <c r="B21" s="45">
        <v>0.2369</v>
      </c>
      <c r="C21">
        <v>0.35260000000000002</v>
      </c>
      <c r="D21" t="str">
        <f t="shared" si="0"/>
        <v>win</v>
      </c>
      <c r="E21">
        <f t="shared" si="1"/>
        <v>32.813386273397619</v>
      </c>
      <c r="F21">
        <v>0.3488</v>
      </c>
      <c r="G21" t="str">
        <f t="shared" si="2"/>
        <v>win</v>
      </c>
      <c r="H21" s="2">
        <f t="shared" si="3"/>
        <v>32.081422018348626</v>
      </c>
      <c r="I21">
        <v>0.34789999999999999</v>
      </c>
      <c r="J21" t="str">
        <f t="shared" si="4"/>
        <v>win</v>
      </c>
      <c r="K21">
        <f t="shared" si="5"/>
        <v>31.905720034492667</v>
      </c>
      <c r="L21">
        <v>0.32879999999999998</v>
      </c>
      <c r="M21" t="str">
        <f t="shared" si="6"/>
        <v>win</v>
      </c>
      <c r="N21">
        <v>0.30480000000000002</v>
      </c>
      <c r="O21" t="str">
        <f t="shared" si="7"/>
        <v>win</v>
      </c>
      <c r="P21">
        <v>0</v>
      </c>
      <c r="Q21" t="str">
        <f t="shared" si="8"/>
        <v>loss</v>
      </c>
    </row>
    <row r="22" spans="1:17" x14ac:dyDescent="0.2">
      <c r="A22" s="44">
        <v>781</v>
      </c>
      <c r="B22" s="45">
        <v>8.6400000000000005E-2</v>
      </c>
      <c r="C22">
        <v>9.4899999999999998E-2</v>
      </c>
      <c r="D22" t="str">
        <f t="shared" si="0"/>
        <v>win</v>
      </c>
      <c r="E22">
        <f t="shared" si="1"/>
        <v>8.9567966280294975</v>
      </c>
      <c r="F22">
        <v>9.2299999999999993E-2</v>
      </c>
      <c r="G22" t="str">
        <f t="shared" si="2"/>
        <v>win</v>
      </c>
      <c r="H22" s="2">
        <f t="shared" si="3"/>
        <v>6.392199349945817</v>
      </c>
      <c r="I22">
        <v>9.35E-2</v>
      </c>
      <c r="J22" t="str">
        <f t="shared" si="4"/>
        <v>win</v>
      </c>
      <c r="K22">
        <f t="shared" si="5"/>
        <v>7.5935828877005296</v>
      </c>
      <c r="L22">
        <v>8.8300000000000003E-2</v>
      </c>
      <c r="M22" t="str">
        <f t="shared" si="6"/>
        <v>win</v>
      </c>
      <c r="N22">
        <v>8.8700000000000001E-2</v>
      </c>
      <c r="O22" t="str">
        <f t="shared" si="7"/>
        <v>win</v>
      </c>
      <c r="P22">
        <v>0</v>
      </c>
      <c r="Q22" t="str">
        <f t="shared" si="8"/>
        <v>loss</v>
      </c>
    </row>
    <row r="23" spans="1:17" x14ac:dyDescent="0.2">
      <c r="A23" s="44">
        <v>782</v>
      </c>
      <c r="B23" s="45">
        <v>0.36530000000000001</v>
      </c>
      <c r="C23">
        <v>0.42249999999999999</v>
      </c>
      <c r="D23" t="str">
        <f t="shared" si="0"/>
        <v>win</v>
      </c>
      <c r="E23">
        <f t="shared" si="1"/>
        <v>13.538461538461533</v>
      </c>
      <c r="F23">
        <v>0.42149999999999999</v>
      </c>
      <c r="G23" t="str">
        <f t="shared" si="2"/>
        <v>win</v>
      </c>
      <c r="H23" s="2">
        <f t="shared" si="3"/>
        <v>13.333333333333327</v>
      </c>
      <c r="I23">
        <v>0.42049999999999998</v>
      </c>
      <c r="J23" t="str">
        <f t="shared" si="4"/>
        <v>win</v>
      </c>
      <c r="K23">
        <f t="shared" si="5"/>
        <v>13.127229488703918</v>
      </c>
      <c r="L23">
        <v>0.41049999999999998</v>
      </c>
      <c r="M23" t="str">
        <f t="shared" si="6"/>
        <v>win</v>
      </c>
      <c r="N23">
        <v>0.39939999999999998</v>
      </c>
      <c r="O23" t="str">
        <f t="shared" si="7"/>
        <v>win</v>
      </c>
      <c r="P23">
        <v>0</v>
      </c>
      <c r="Q23" t="str">
        <f t="shared" si="8"/>
        <v>loss</v>
      </c>
    </row>
    <row r="24" spans="1:17" x14ac:dyDescent="0.2">
      <c r="A24" s="44">
        <v>784</v>
      </c>
      <c r="B24" s="45">
        <v>0.16250000000000001</v>
      </c>
      <c r="C24">
        <v>0.16250000000000001</v>
      </c>
      <c r="D24" t="str">
        <f t="shared" si="0"/>
        <v>loss</v>
      </c>
      <c r="E24">
        <f t="shared" si="1"/>
        <v>0</v>
      </c>
      <c r="F24">
        <v>0.18329999999999999</v>
      </c>
      <c r="G24" t="str">
        <f t="shared" si="2"/>
        <v>win</v>
      </c>
      <c r="H24" s="2">
        <f t="shared" si="3"/>
        <v>11.347517730496447</v>
      </c>
      <c r="I24">
        <v>0.18329999999999999</v>
      </c>
      <c r="J24" t="str">
        <f t="shared" si="4"/>
        <v>win</v>
      </c>
      <c r="K24">
        <f t="shared" si="5"/>
        <v>11.347517730496447</v>
      </c>
      <c r="L24">
        <v>0.18329999999999999</v>
      </c>
      <c r="M24" t="str">
        <f t="shared" si="6"/>
        <v>win</v>
      </c>
      <c r="N24">
        <v>0.16250000000000001</v>
      </c>
      <c r="O24" t="str">
        <f t="shared" si="7"/>
        <v>loss</v>
      </c>
      <c r="P24">
        <v>0</v>
      </c>
      <c r="Q24" t="str">
        <f t="shared" si="8"/>
        <v>loss</v>
      </c>
    </row>
    <row r="25" spans="1:17" x14ac:dyDescent="0.2">
      <c r="B25" t="s">
        <v>14</v>
      </c>
      <c r="D25">
        <v>11</v>
      </c>
      <c r="G25">
        <v>12</v>
      </c>
      <c r="J25">
        <v>11</v>
      </c>
      <c r="M25">
        <v>10</v>
      </c>
      <c r="O25">
        <v>9</v>
      </c>
    </row>
    <row r="26" spans="1:17" x14ac:dyDescent="0.2">
      <c r="B26" t="s">
        <v>15</v>
      </c>
      <c r="D26">
        <v>9</v>
      </c>
      <c r="G26">
        <v>8</v>
      </c>
      <c r="J26">
        <v>9</v>
      </c>
      <c r="M26">
        <v>10</v>
      </c>
      <c r="O26">
        <v>11</v>
      </c>
    </row>
    <row r="30" spans="1:17" x14ac:dyDescent="0.2">
      <c r="P30" t="s">
        <v>14</v>
      </c>
    </row>
    <row r="31" spans="1:17" x14ac:dyDescent="0.2">
      <c r="P31" t="s">
        <v>15</v>
      </c>
    </row>
  </sheetData>
  <autoFilter ref="A4:Q26" xr:uid="{7370A970-EA52-AF46-A521-0BAA613A7F0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5F8F-4414-0D44-9C13-575A6619B4C0}">
  <dimension ref="A5:N32"/>
  <sheetViews>
    <sheetView zoomScale="110" workbookViewId="0">
      <selection activeCell="A5" sqref="A5:B25"/>
    </sheetView>
  </sheetViews>
  <sheetFormatPr baseColWidth="10" defaultColWidth="11.5" defaultRowHeight="16" x14ac:dyDescent="0.2"/>
  <cols>
    <col min="2" max="2" width="20" customWidth="1"/>
  </cols>
  <sheetData>
    <row r="5" spans="1:14" x14ac:dyDescent="0.2">
      <c r="A5" s="11" t="s">
        <v>42</v>
      </c>
      <c r="B5" s="11" t="s">
        <v>45</v>
      </c>
      <c r="C5" s="11">
        <v>0</v>
      </c>
      <c r="D5" s="11" t="s">
        <v>13</v>
      </c>
      <c r="E5" s="11">
        <v>0.2</v>
      </c>
      <c r="F5" s="11" t="s">
        <v>13</v>
      </c>
      <c r="G5" s="11">
        <v>0.4</v>
      </c>
      <c r="H5" s="11" t="s">
        <v>13</v>
      </c>
      <c r="I5" s="11">
        <v>0.6</v>
      </c>
      <c r="J5" s="11" t="s">
        <v>13</v>
      </c>
      <c r="K5" s="11">
        <v>0.8</v>
      </c>
      <c r="L5" s="11" t="s">
        <v>13</v>
      </c>
      <c r="M5" s="11">
        <v>1</v>
      </c>
      <c r="N5" s="11" t="s">
        <v>13</v>
      </c>
    </row>
    <row r="6" spans="1:14" x14ac:dyDescent="0.2">
      <c r="A6">
        <v>704</v>
      </c>
      <c r="B6" s="2">
        <v>0.1285</v>
      </c>
      <c r="C6">
        <v>0.18840000000000001</v>
      </c>
      <c r="D6" t="str">
        <f>IF(C6&gt;B6, I$31, I$32)</f>
        <v>win</v>
      </c>
      <c r="E6">
        <v>0.17430000000000001</v>
      </c>
      <c r="F6" t="str">
        <f>IF(E6&gt;B6, I$31, I$32)</f>
        <v>win</v>
      </c>
      <c r="G6">
        <v>0.1628</v>
      </c>
      <c r="H6" t="str">
        <f>IF(G6&gt;B6, I$31, I$32)</f>
        <v>win</v>
      </c>
      <c r="I6">
        <v>0.14269999999999999</v>
      </c>
      <c r="J6" t="str">
        <f>IF(I6&gt;B6, I$31, I$32)</f>
        <v>win</v>
      </c>
      <c r="K6">
        <v>9.5000000000000001E-2</v>
      </c>
      <c r="L6" t="str">
        <f>IF(K6&gt;B6, I$31, I$32)</f>
        <v>loss</v>
      </c>
      <c r="M6">
        <v>0</v>
      </c>
    </row>
    <row r="7" spans="1:14" x14ac:dyDescent="0.2">
      <c r="A7">
        <v>706</v>
      </c>
      <c r="B7" s="2">
        <v>4.2700000000000002E-2</v>
      </c>
      <c r="C7">
        <v>5.5599999999999997E-2</v>
      </c>
      <c r="D7" t="str">
        <f t="shared" ref="D7:D25" si="0">IF(C7&gt;B7, I$31, I$32)</f>
        <v>win</v>
      </c>
      <c r="E7">
        <v>5.0999999999999997E-2</v>
      </c>
      <c r="F7" t="str">
        <f t="shared" ref="F7:F25" si="1">IF(E7&gt;B7, I$31, I$32)</f>
        <v>win</v>
      </c>
      <c r="G7">
        <v>4.7600000000000003E-2</v>
      </c>
      <c r="H7" t="str">
        <f t="shared" ref="H7:H25" si="2">IF(G7&gt;B7, I$31, I$32)</f>
        <v>win</v>
      </c>
      <c r="I7">
        <v>4.9000000000000002E-2</v>
      </c>
      <c r="J7" t="str">
        <f t="shared" ref="J7:J25" si="3">IF(I7&gt;B7, I$31, I$32)</f>
        <v>win</v>
      </c>
      <c r="K7">
        <v>5.1299999999999998E-2</v>
      </c>
      <c r="L7" t="str">
        <f t="shared" ref="L7:L25" si="4">IF(K7&gt;B7, I$31, I$32)</f>
        <v>win</v>
      </c>
      <c r="M7">
        <v>0</v>
      </c>
    </row>
    <row r="8" spans="1:14" x14ac:dyDescent="0.2">
      <c r="A8">
        <v>709</v>
      </c>
      <c r="B8" s="2">
        <v>0.31969999999999998</v>
      </c>
      <c r="C8">
        <v>0.28949999999999998</v>
      </c>
      <c r="D8" t="str">
        <f t="shared" si="0"/>
        <v>loss</v>
      </c>
      <c r="E8">
        <v>0.28599999999999998</v>
      </c>
      <c r="F8" t="str">
        <f t="shared" si="1"/>
        <v>loss</v>
      </c>
      <c r="G8">
        <v>0.28039999999999998</v>
      </c>
      <c r="H8" t="str">
        <f t="shared" si="2"/>
        <v>loss</v>
      </c>
      <c r="I8">
        <v>0.25929999999999997</v>
      </c>
      <c r="J8" t="str">
        <f t="shared" si="3"/>
        <v>loss</v>
      </c>
      <c r="K8">
        <v>0.24410000000000001</v>
      </c>
      <c r="L8" t="str">
        <f t="shared" si="4"/>
        <v>loss</v>
      </c>
      <c r="M8">
        <v>0</v>
      </c>
    </row>
    <row r="9" spans="1:14" x14ac:dyDescent="0.2">
      <c r="A9">
        <v>714</v>
      </c>
      <c r="B9" s="2">
        <v>2.1399999999999999E-2</v>
      </c>
      <c r="C9">
        <v>8.8000000000000005E-3</v>
      </c>
      <c r="D9" t="str">
        <f t="shared" si="0"/>
        <v>loss</v>
      </c>
      <c r="E9">
        <v>8.8999999999999999E-3</v>
      </c>
      <c r="F9" t="str">
        <f t="shared" si="1"/>
        <v>loss</v>
      </c>
      <c r="G9">
        <v>8.8999999999999999E-3</v>
      </c>
      <c r="H9" t="str">
        <f t="shared" si="2"/>
        <v>loss</v>
      </c>
      <c r="I9">
        <v>8.6E-3</v>
      </c>
      <c r="J9" t="str">
        <f t="shared" si="3"/>
        <v>loss</v>
      </c>
      <c r="K9">
        <v>8.5000000000000006E-3</v>
      </c>
      <c r="L9" t="str">
        <f t="shared" si="4"/>
        <v>loss</v>
      </c>
      <c r="M9">
        <v>0</v>
      </c>
    </row>
    <row r="10" spans="1:14" x14ac:dyDescent="0.2">
      <c r="A10">
        <v>716</v>
      </c>
      <c r="B10" s="2">
        <v>2.46E-2</v>
      </c>
      <c r="C10">
        <v>1.67E-2</v>
      </c>
      <c r="D10" t="str">
        <f t="shared" si="0"/>
        <v>loss</v>
      </c>
      <c r="E10">
        <v>2.01E-2</v>
      </c>
      <c r="F10" t="str">
        <f t="shared" si="1"/>
        <v>loss</v>
      </c>
      <c r="G10">
        <v>2.5000000000000001E-2</v>
      </c>
      <c r="H10" t="str">
        <f t="shared" si="2"/>
        <v>win</v>
      </c>
      <c r="I10">
        <v>2.1600000000000001E-2</v>
      </c>
      <c r="J10" t="str">
        <f t="shared" si="3"/>
        <v>loss</v>
      </c>
      <c r="K10">
        <v>2.2499999999999999E-2</v>
      </c>
      <c r="L10" t="str">
        <f t="shared" si="4"/>
        <v>loss</v>
      </c>
      <c r="M10">
        <v>0</v>
      </c>
    </row>
    <row r="11" spans="1:14" x14ac:dyDescent="0.2">
      <c r="A11">
        <v>717</v>
      </c>
      <c r="B11" s="2">
        <v>5.8500000000000003E-2</v>
      </c>
      <c r="C11">
        <v>5.9700000000000003E-2</v>
      </c>
      <c r="D11" t="str">
        <f t="shared" si="0"/>
        <v>win</v>
      </c>
      <c r="E11">
        <v>6.3200000000000006E-2</v>
      </c>
      <c r="F11" t="str">
        <f t="shared" si="1"/>
        <v>win</v>
      </c>
      <c r="G11">
        <v>6.6199999999999995E-2</v>
      </c>
      <c r="H11" t="str">
        <f t="shared" si="2"/>
        <v>win</v>
      </c>
      <c r="I11">
        <v>6.6900000000000001E-2</v>
      </c>
      <c r="J11" t="str">
        <f t="shared" si="3"/>
        <v>win</v>
      </c>
      <c r="K11">
        <v>6.7299999999999999E-2</v>
      </c>
      <c r="L11" t="str">
        <f t="shared" si="4"/>
        <v>win</v>
      </c>
      <c r="M11">
        <v>0</v>
      </c>
    </row>
    <row r="12" spans="1:14" x14ac:dyDescent="0.2">
      <c r="A12" s="44">
        <v>721</v>
      </c>
      <c r="B12" s="45">
        <v>3.5900000000000001E-2</v>
      </c>
      <c r="C12">
        <v>5.1999999999999998E-2</v>
      </c>
      <c r="D12" t="str">
        <f t="shared" si="0"/>
        <v>win</v>
      </c>
      <c r="E12">
        <v>5.2200000000000003E-2</v>
      </c>
      <c r="F12" t="str">
        <f t="shared" si="1"/>
        <v>win</v>
      </c>
      <c r="G12">
        <v>4.9799999999999997E-2</v>
      </c>
      <c r="H12" t="str">
        <f t="shared" si="2"/>
        <v>win</v>
      </c>
      <c r="I12">
        <v>3.8100000000000002E-2</v>
      </c>
      <c r="J12" t="str">
        <f t="shared" si="3"/>
        <v>win</v>
      </c>
      <c r="K12">
        <v>3.0099999999999998E-2</v>
      </c>
      <c r="L12" t="str">
        <f t="shared" si="4"/>
        <v>loss</v>
      </c>
      <c r="M12">
        <v>0</v>
      </c>
    </row>
    <row r="13" spans="1:14" x14ac:dyDescent="0.2">
      <c r="A13" s="44">
        <v>724</v>
      </c>
      <c r="B13" s="45">
        <v>0.19270000000000001</v>
      </c>
      <c r="C13">
        <v>0.15310000000000001</v>
      </c>
      <c r="D13" t="str">
        <f t="shared" si="0"/>
        <v>loss</v>
      </c>
      <c r="E13">
        <v>0.14149999999999999</v>
      </c>
      <c r="F13" t="str">
        <f t="shared" si="1"/>
        <v>loss</v>
      </c>
      <c r="G13">
        <v>0.1318</v>
      </c>
      <c r="H13" t="str">
        <f t="shared" si="2"/>
        <v>loss</v>
      </c>
      <c r="I13">
        <v>0.1106</v>
      </c>
      <c r="J13" t="str">
        <f t="shared" si="3"/>
        <v>loss</v>
      </c>
      <c r="K13">
        <v>0.1072</v>
      </c>
      <c r="L13" t="str">
        <f t="shared" si="4"/>
        <v>loss</v>
      </c>
      <c r="M13">
        <v>0</v>
      </c>
    </row>
    <row r="14" spans="1:14" x14ac:dyDescent="0.2">
      <c r="A14" s="44">
        <v>725</v>
      </c>
      <c r="B14" s="45">
        <v>0.1037</v>
      </c>
      <c r="C14">
        <v>8.5400000000000004E-2</v>
      </c>
      <c r="D14" t="str">
        <f t="shared" si="0"/>
        <v>loss</v>
      </c>
      <c r="E14">
        <v>9.1300000000000006E-2</v>
      </c>
      <c r="F14" t="str">
        <f t="shared" si="1"/>
        <v>loss</v>
      </c>
      <c r="G14">
        <v>9.11E-2</v>
      </c>
      <c r="H14" t="str">
        <f t="shared" si="2"/>
        <v>loss</v>
      </c>
      <c r="I14">
        <v>8.9099999999999999E-2</v>
      </c>
      <c r="J14" t="str">
        <f t="shared" si="3"/>
        <v>loss</v>
      </c>
      <c r="K14">
        <v>7.46E-2</v>
      </c>
      <c r="L14" t="str">
        <f t="shared" si="4"/>
        <v>loss</v>
      </c>
      <c r="M14">
        <v>0</v>
      </c>
    </row>
    <row r="15" spans="1:14" x14ac:dyDescent="0.2">
      <c r="A15" s="44">
        <v>729</v>
      </c>
      <c r="B15" s="45">
        <v>2.8E-3</v>
      </c>
      <c r="C15">
        <v>0</v>
      </c>
      <c r="D15" t="str">
        <f t="shared" si="0"/>
        <v>loss</v>
      </c>
      <c r="E15">
        <v>1.9E-3</v>
      </c>
      <c r="F15" t="str">
        <f t="shared" si="1"/>
        <v>loss</v>
      </c>
      <c r="G15">
        <v>2.5999999999999999E-3</v>
      </c>
      <c r="H15" t="str">
        <f t="shared" si="2"/>
        <v>loss</v>
      </c>
      <c r="I15">
        <v>3.2000000000000002E-3</v>
      </c>
      <c r="J15" t="str">
        <f t="shared" si="3"/>
        <v>win</v>
      </c>
      <c r="K15">
        <v>4.5999999999999999E-3</v>
      </c>
      <c r="L15" t="str">
        <f t="shared" si="4"/>
        <v>win</v>
      </c>
      <c r="M15">
        <v>0</v>
      </c>
    </row>
    <row r="16" spans="1:14" x14ac:dyDescent="0.2">
      <c r="A16" s="44">
        <v>735</v>
      </c>
      <c r="B16" s="45">
        <v>6.3E-2</v>
      </c>
      <c r="C16">
        <v>6.9900000000000004E-2</v>
      </c>
      <c r="D16" t="str">
        <f t="shared" si="0"/>
        <v>win</v>
      </c>
      <c r="E16">
        <v>7.2400000000000006E-2</v>
      </c>
      <c r="F16" t="str">
        <f t="shared" si="1"/>
        <v>win</v>
      </c>
      <c r="G16">
        <v>7.4700000000000003E-2</v>
      </c>
      <c r="H16" t="str">
        <f t="shared" si="2"/>
        <v>win</v>
      </c>
      <c r="I16">
        <v>7.2999999999999995E-2</v>
      </c>
      <c r="J16" t="str">
        <f t="shared" si="3"/>
        <v>win</v>
      </c>
      <c r="K16">
        <v>9.3600000000000003E-2</v>
      </c>
      <c r="L16" t="str">
        <f t="shared" si="4"/>
        <v>win</v>
      </c>
      <c r="M16">
        <v>0</v>
      </c>
    </row>
    <row r="17" spans="1:13" x14ac:dyDescent="0.2">
      <c r="A17" s="44">
        <v>736</v>
      </c>
      <c r="B17" s="45">
        <v>0.12130000000000001</v>
      </c>
      <c r="C17">
        <v>0.16689999999999999</v>
      </c>
      <c r="D17" t="str">
        <f t="shared" si="0"/>
        <v>win</v>
      </c>
      <c r="E17">
        <v>0.16850000000000001</v>
      </c>
      <c r="F17" t="str">
        <f t="shared" si="1"/>
        <v>win</v>
      </c>
      <c r="G17">
        <v>0.1666</v>
      </c>
      <c r="H17" t="str">
        <f t="shared" si="2"/>
        <v>win</v>
      </c>
      <c r="I17">
        <v>0.16789999999999999</v>
      </c>
      <c r="J17" t="str">
        <f t="shared" si="3"/>
        <v>win</v>
      </c>
      <c r="K17">
        <v>0.17319999999999999</v>
      </c>
      <c r="L17" t="str">
        <f t="shared" si="4"/>
        <v>win</v>
      </c>
      <c r="M17">
        <v>0</v>
      </c>
    </row>
    <row r="18" spans="1:13" x14ac:dyDescent="0.2">
      <c r="A18" s="44">
        <v>738</v>
      </c>
      <c r="B18" s="45">
        <v>0.25819999999999999</v>
      </c>
      <c r="C18">
        <v>0.23860000000000001</v>
      </c>
      <c r="D18" t="str">
        <f t="shared" si="0"/>
        <v>loss</v>
      </c>
      <c r="E18">
        <v>0.2422</v>
      </c>
      <c r="F18" t="str">
        <f t="shared" si="1"/>
        <v>loss</v>
      </c>
      <c r="G18">
        <v>0.2445</v>
      </c>
      <c r="H18" t="str">
        <f t="shared" si="2"/>
        <v>loss</v>
      </c>
      <c r="I18">
        <v>0.25750000000000001</v>
      </c>
      <c r="J18" t="str">
        <f t="shared" si="3"/>
        <v>loss</v>
      </c>
      <c r="K18">
        <v>0.25800000000000001</v>
      </c>
      <c r="L18" t="str">
        <f t="shared" si="4"/>
        <v>loss</v>
      </c>
      <c r="M18">
        <v>0</v>
      </c>
    </row>
    <row r="19" spans="1:13" x14ac:dyDescent="0.2">
      <c r="A19" s="9">
        <v>741</v>
      </c>
      <c r="B19" s="43">
        <v>1.17E-2</v>
      </c>
      <c r="C19">
        <v>1.4E-3</v>
      </c>
      <c r="D19" t="str">
        <f t="shared" si="0"/>
        <v>loss</v>
      </c>
      <c r="E19">
        <v>1.5E-3</v>
      </c>
      <c r="F19" t="str">
        <f t="shared" si="1"/>
        <v>loss</v>
      </c>
      <c r="G19">
        <v>1.5E-3</v>
      </c>
      <c r="H19" t="str">
        <f t="shared" si="2"/>
        <v>loss</v>
      </c>
      <c r="I19">
        <v>1.8E-3</v>
      </c>
      <c r="J19" t="str">
        <f t="shared" si="3"/>
        <v>loss</v>
      </c>
      <c r="K19">
        <v>2.5999999999999999E-3</v>
      </c>
      <c r="L19" t="str">
        <f t="shared" si="4"/>
        <v>loss</v>
      </c>
      <c r="M19">
        <v>0</v>
      </c>
    </row>
    <row r="20" spans="1:13" x14ac:dyDescent="0.2">
      <c r="A20" s="44">
        <v>752</v>
      </c>
      <c r="B20" s="45">
        <v>0.1832</v>
      </c>
      <c r="C20">
        <v>0.18629999999999999</v>
      </c>
      <c r="D20" t="str">
        <f t="shared" si="0"/>
        <v>win</v>
      </c>
      <c r="E20">
        <v>0.18479999999999999</v>
      </c>
      <c r="F20" t="str">
        <f t="shared" si="1"/>
        <v>win</v>
      </c>
      <c r="G20">
        <v>0.1835</v>
      </c>
      <c r="H20" t="str">
        <f t="shared" si="2"/>
        <v>win</v>
      </c>
      <c r="I20">
        <v>0.17899999999999999</v>
      </c>
      <c r="J20" t="str">
        <f t="shared" si="3"/>
        <v>loss</v>
      </c>
      <c r="K20">
        <v>0.16470000000000001</v>
      </c>
      <c r="L20" t="str">
        <f t="shared" si="4"/>
        <v>loss</v>
      </c>
      <c r="M20">
        <v>0</v>
      </c>
    </row>
    <row r="21" spans="1:13" x14ac:dyDescent="0.2">
      <c r="A21" s="44">
        <v>755</v>
      </c>
      <c r="B21" s="45">
        <v>0.2969</v>
      </c>
      <c r="C21">
        <v>0.32219999999999999</v>
      </c>
      <c r="D21" t="str">
        <f t="shared" si="0"/>
        <v>win</v>
      </c>
      <c r="E21">
        <v>0.3231</v>
      </c>
      <c r="F21" t="str">
        <f t="shared" si="1"/>
        <v>win</v>
      </c>
      <c r="G21">
        <v>0.3286</v>
      </c>
      <c r="H21" t="str">
        <f t="shared" si="2"/>
        <v>win</v>
      </c>
      <c r="I21">
        <v>0.31140000000000001</v>
      </c>
      <c r="J21" t="str">
        <f t="shared" si="3"/>
        <v>win</v>
      </c>
      <c r="K21">
        <v>0.30499999999999999</v>
      </c>
      <c r="L21" t="str">
        <f t="shared" si="4"/>
        <v>win</v>
      </c>
      <c r="M21">
        <v>0</v>
      </c>
    </row>
    <row r="22" spans="1:13" x14ac:dyDescent="0.2">
      <c r="A22" s="44">
        <v>766</v>
      </c>
      <c r="B22" s="45">
        <v>0.2369</v>
      </c>
      <c r="C22">
        <v>0.34920000000000001</v>
      </c>
      <c r="D22" t="str">
        <f t="shared" si="0"/>
        <v>win</v>
      </c>
      <c r="E22">
        <v>0.34920000000000001</v>
      </c>
      <c r="F22" t="str">
        <f t="shared" si="1"/>
        <v>win</v>
      </c>
      <c r="G22">
        <v>0.3488</v>
      </c>
      <c r="H22" t="str">
        <f t="shared" si="2"/>
        <v>win</v>
      </c>
      <c r="I22">
        <v>0.34710000000000002</v>
      </c>
      <c r="J22" t="str">
        <f t="shared" si="3"/>
        <v>win</v>
      </c>
      <c r="K22">
        <v>0.313</v>
      </c>
      <c r="L22" t="str">
        <f t="shared" si="4"/>
        <v>win</v>
      </c>
      <c r="M22">
        <v>0</v>
      </c>
    </row>
    <row r="23" spans="1:13" x14ac:dyDescent="0.2">
      <c r="A23" s="44">
        <v>781</v>
      </c>
      <c r="B23" s="45">
        <v>8.6400000000000005E-2</v>
      </c>
      <c r="C23">
        <v>9.8900000000000002E-2</v>
      </c>
      <c r="D23" t="str">
        <f t="shared" si="0"/>
        <v>win</v>
      </c>
      <c r="E23">
        <v>9.8199999999999996E-2</v>
      </c>
      <c r="F23" t="str">
        <f t="shared" si="1"/>
        <v>win</v>
      </c>
      <c r="G23">
        <v>9.4299999999999995E-2</v>
      </c>
      <c r="H23" t="str">
        <f t="shared" si="2"/>
        <v>win</v>
      </c>
      <c r="I23">
        <v>9.4500000000000001E-2</v>
      </c>
      <c r="J23" t="str">
        <f t="shared" si="3"/>
        <v>win</v>
      </c>
      <c r="K23">
        <v>8.9499999999999996E-2</v>
      </c>
      <c r="L23" t="str">
        <f t="shared" si="4"/>
        <v>win</v>
      </c>
      <c r="M23">
        <v>0</v>
      </c>
    </row>
    <row r="24" spans="1:13" x14ac:dyDescent="0.2">
      <c r="A24" s="44">
        <v>782</v>
      </c>
      <c r="B24" s="45">
        <v>0.36530000000000001</v>
      </c>
      <c r="C24">
        <v>0.41959999999999997</v>
      </c>
      <c r="D24" t="str">
        <f t="shared" si="0"/>
        <v>win</v>
      </c>
      <c r="E24">
        <v>0.41860000000000003</v>
      </c>
      <c r="F24" t="str">
        <f t="shared" si="1"/>
        <v>win</v>
      </c>
      <c r="G24">
        <v>0.41249999999999998</v>
      </c>
      <c r="H24" t="str">
        <f t="shared" si="2"/>
        <v>win</v>
      </c>
      <c r="I24">
        <v>0.41039999999999999</v>
      </c>
      <c r="J24" t="str">
        <f t="shared" si="3"/>
        <v>win</v>
      </c>
      <c r="K24">
        <v>0.40360000000000001</v>
      </c>
      <c r="L24" t="str">
        <f t="shared" si="4"/>
        <v>win</v>
      </c>
      <c r="M24">
        <v>0</v>
      </c>
    </row>
    <row r="25" spans="1:13" x14ac:dyDescent="0.2">
      <c r="A25" s="44">
        <v>784</v>
      </c>
      <c r="B25" s="45">
        <v>0.16250000000000001</v>
      </c>
      <c r="C25">
        <v>0.14580000000000001</v>
      </c>
      <c r="D25" t="str">
        <f t="shared" si="0"/>
        <v>loss</v>
      </c>
      <c r="E25">
        <v>0.18329999999999999</v>
      </c>
      <c r="F25" t="str">
        <f t="shared" si="1"/>
        <v>win</v>
      </c>
      <c r="G25">
        <v>0.18329999999999999</v>
      </c>
      <c r="H25" t="str">
        <f t="shared" si="2"/>
        <v>win</v>
      </c>
      <c r="I25">
        <v>0.18329999999999999</v>
      </c>
      <c r="J25" t="str">
        <f t="shared" si="3"/>
        <v>win</v>
      </c>
      <c r="K25">
        <v>0.18329999999999999</v>
      </c>
      <c r="L25" t="str">
        <f t="shared" si="4"/>
        <v>win</v>
      </c>
      <c r="M25">
        <v>0</v>
      </c>
    </row>
    <row r="26" spans="1:13" x14ac:dyDescent="0.2">
      <c r="A26" t="s">
        <v>14</v>
      </c>
      <c r="D26">
        <v>11</v>
      </c>
      <c r="F26">
        <v>12</v>
      </c>
      <c r="H26">
        <v>13</v>
      </c>
      <c r="J26">
        <v>12</v>
      </c>
      <c r="L26">
        <v>10</v>
      </c>
    </row>
    <row r="27" spans="1:13" x14ac:dyDescent="0.2">
      <c r="A27" t="s">
        <v>15</v>
      </c>
      <c r="D27">
        <v>9</v>
      </c>
      <c r="F27">
        <v>8</v>
      </c>
      <c r="H27">
        <v>7</v>
      </c>
      <c r="J27">
        <v>8</v>
      </c>
      <c r="L27">
        <v>10</v>
      </c>
    </row>
    <row r="31" spans="1:13" x14ac:dyDescent="0.2">
      <c r="I31" t="s">
        <v>14</v>
      </c>
    </row>
    <row r="32" spans="1:13" x14ac:dyDescent="0.2">
      <c r="I32" t="s">
        <v>15</v>
      </c>
    </row>
  </sheetData>
  <autoFilter ref="A5:N27" xr:uid="{0F802B6B-909A-FA46-BF74-998B4ED552D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AB13-D289-0645-A84C-C64506E7D643}">
  <dimension ref="A5:M30"/>
  <sheetViews>
    <sheetView workbookViewId="0">
      <selection activeCell="C25" sqref="C25"/>
    </sheetView>
  </sheetViews>
  <sheetFormatPr baseColWidth="10" defaultRowHeight="16" x14ac:dyDescent="0.2"/>
  <cols>
    <col min="1" max="1" width="11.5" bestFit="1" customWidth="1"/>
    <col min="2" max="2" width="23.6640625" bestFit="1" customWidth="1"/>
    <col min="3" max="3" width="7.1640625" bestFit="1" customWidth="1"/>
    <col min="4" max="4" width="12.33203125" bestFit="1" customWidth="1"/>
    <col min="5" max="5" width="9.1640625" bestFit="1" customWidth="1"/>
    <col min="6" max="6" width="12.33203125" bestFit="1" customWidth="1"/>
    <col min="7" max="7" width="9.1640625" bestFit="1" customWidth="1"/>
    <col min="8" max="8" width="12.33203125" bestFit="1" customWidth="1"/>
    <col min="9" max="9" width="9.1640625" bestFit="1" customWidth="1"/>
    <col min="10" max="10" width="12.33203125" bestFit="1" customWidth="1"/>
    <col min="11" max="11" width="9.1640625" bestFit="1" customWidth="1"/>
    <col min="12" max="12" width="12.33203125" bestFit="1" customWidth="1"/>
    <col min="13" max="13" width="7.1640625" bestFit="1" customWidth="1"/>
  </cols>
  <sheetData>
    <row r="5" spans="1:13" x14ac:dyDescent="0.2">
      <c r="A5" s="11" t="s">
        <v>42</v>
      </c>
      <c r="B5" s="11" t="s">
        <v>45</v>
      </c>
      <c r="C5" s="11">
        <v>0</v>
      </c>
      <c r="D5" s="11" t="s">
        <v>47</v>
      </c>
      <c r="E5" s="11">
        <v>0.2</v>
      </c>
      <c r="F5" s="11" t="s">
        <v>47</v>
      </c>
      <c r="G5" s="11">
        <v>0.4</v>
      </c>
      <c r="H5" s="11" t="s">
        <v>47</v>
      </c>
      <c r="I5" s="11">
        <v>0.6</v>
      </c>
      <c r="J5" s="11" t="s">
        <v>47</v>
      </c>
      <c r="K5" s="11">
        <v>0.8</v>
      </c>
      <c r="L5" s="11" t="s">
        <v>47</v>
      </c>
      <c r="M5" s="11">
        <v>1</v>
      </c>
    </row>
    <row r="6" spans="1:13" x14ac:dyDescent="0.2">
      <c r="A6">
        <v>704</v>
      </c>
      <c r="B6" s="2">
        <v>0.1285</v>
      </c>
      <c r="C6">
        <v>0.2087</v>
      </c>
      <c r="D6" t="str">
        <f>IF(C6&gt;B6, K$29, K$30)</f>
        <v>win</v>
      </c>
      <c r="E6">
        <v>0.19650000000000001</v>
      </c>
      <c r="F6" t="str">
        <f>IF(E6&gt;B6, K$29, K$30)</f>
        <v>win</v>
      </c>
      <c r="G6">
        <v>0.1769</v>
      </c>
      <c r="H6" t="str">
        <f>IF(G6&gt;B6, K$29, K$30)</f>
        <v>win</v>
      </c>
      <c r="I6">
        <v>0.16850000000000001</v>
      </c>
      <c r="J6" t="str">
        <f>IF(I6&gt;B6, K$29, K$30)</f>
        <v>win</v>
      </c>
      <c r="K6">
        <v>0.1489</v>
      </c>
      <c r="L6" t="str">
        <f>IF(K6&gt;B6, K$29, K$30)</f>
        <v>win</v>
      </c>
      <c r="M6">
        <v>0</v>
      </c>
    </row>
    <row r="7" spans="1:13" x14ac:dyDescent="0.2">
      <c r="A7">
        <v>706</v>
      </c>
      <c r="B7" s="2">
        <v>4.2700000000000002E-2</v>
      </c>
      <c r="C7">
        <v>6.25E-2</v>
      </c>
      <c r="D7" t="str">
        <f t="shared" ref="D7:D25" si="0">IF(C7&gt;B7, K$29, K$30)</f>
        <v>win</v>
      </c>
      <c r="E7">
        <v>5.8299999999999998E-2</v>
      </c>
      <c r="F7" t="str">
        <f t="shared" ref="F7:F25" si="1">IF(E7&gt;B7, K$29, K$30)</f>
        <v>win</v>
      </c>
      <c r="G7">
        <v>5.21E-2</v>
      </c>
      <c r="H7" t="str">
        <f t="shared" ref="H7:H25" si="2">IF(G7&gt;B7, K$29, K$30)</f>
        <v>win</v>
      </c>
      <c r="I7">
        <v>5.2999999999999999E-2</v>
      </c>
      <c r="J7" t="str">
        <f t="shared" ref="J7:J25" si="3">IF(I7&gt;B7, K$29, K$30)</f>
        <v>win</v>
      </c>
      <c r="K7">
        <v>5.3800000000000001E-2</v>
      </c>
      <c r="L7" t="str">
        <f t="shared" ref="L7:L25" si="4">IF(K7&gt;B7, K$29, K$30)</f>
        <v>win</v>
      </c>
      <c r="M7">
        <v>0</v>
      </c>
    </row>
    <row r="8" spans="1:13" x14ac:dyDescent="0.2">
      <c r="A8">
        <v>709</v>
      </c>
      <c r="B8" s="2">
        <v>0.31969999999999998</v>
      </c>
      <c r="C8">
        <v>0.29549999999999998</v>
      </c>
      <c r="D8" t="str">
        <f t="shared" si="0"/>
        <v>loss</v>
      </c>
      <c r="E8">
        <v>0.28720000000000001</v>
      </c>
      <c r="F8" t="str">
        <f t="shared" si="1"/>
        <v>loss</v>
      </c>
      <c r="G8">
        <v>0.27179999999999999</v>
      </c>
      <c r="H8" t="str">
        <f t="shared" si="2"/>
        <v>loss</v>
      </c>
      <c r="I8">
        <v>0.26</v>
      </c>
      <c r="J8" t="str">
        <f t="shared" si="3"/>
        <v>loss</v>
      </c>
      <c r="K8">
        <v>0.2472</v>
      </c>
      <c r="L8" t="str">
        <f t="shared" si="4"/>
        <v>loss</v>
      </c>
      <c r="M8">
        <v>0</v>
      </c>
    </row>
    <row r="9" spans="1:13" x14ac:dyDescent="0.2">
      <c r="A9">
        <v>714</v>
      </c>
      <c r="B9" s="2">
        <v>2.1399999999999999E-2</v>
      </c>
      <c r="C9">
        <v>6.1999999999999998E-3</v>
      </c>
      <c r="D9" t="str">
        <f t="shared" si="0"/>
        <v>loss</v>
      </c>
      <c r="E9">
        <v>6.4000000000000003E-3</v>
      </c>
      <c r="F9" t="str">
        <f t="shared" si="1"/>
        <v>loss</v>
      </c>
      <c r="G9">
        <v>7.1999999999999998E-3</v>
      </c>
      <c r="H9" t="str">
        <f t="shared" si="2"/>
        <v>loss</v>
      </c>
      <c r="I9">
        <v>7.3000000000000001E-3</v>
      </c>
      <c r="J9" t="str">
        <f t="shared" si="3"/>
        <v>loss</v>
      </c>
      <c r="K9">
        <v>7.3000000000000001E-3</v>
      </c>
      <c r="L9" t="str">
        <f t="shared" si="4"/>
        <v>loss</v>
      </c>
      <c r="M9">
        <v>0</v>
      </c>
    </row>
    <row r="10" spans="1:13" x14ac:dyDescent="0.2">
      <c r="A10">
        <v>716</v>
      </c>
      <c r="B10" s="2">
        <v>2.46E-2</v>
      </c>
      <c r="C10">
        <v>2.07E-2</v>
      </c>
      <c r="D10" t="str">
        <f t="shared" si="0"/>
        <v>loss</v>
      </c>
      <c r="E10">
        <v>2.6800000000000001E-2</v>
      </c>
      <c r="F10" t="str">
        <f t="shared" si="1"/>
        <v>win</v>
      </c>
      <c r="G10">
        <v>2.3400000000000001E-2</v>
      </c>
      <c r="H10" t="str">
        <f t="shared" si="2"/>
        <v>loss</v>
      </c>
      <c r="I10">
        <v>2.7199999999999998E-2</v>
      </c>
      <c r="J10" t="str">
        <f t="shared" si="3"/>
        <v>win</v>
      </c>
      <c r="K10">
        <v>2.24E-2</v>
      </c>
      <c r="L10" t="str">
        <f t="shared" si="4"/>
        <v>loss</v>
      </c>
      <c r="M10">
        <v>0</v>
      </c>
    </row>
    <row r="11" spans="1:13" x14ac:dyDescent="0.2">
      <c r="A11">
        <v>717</v>
      </c>
      <c r="B11" s="2">
        <v>5.8500000000000003E-2</v>
      </c>
      <c r="C11">
        <v>5.5899999999999998E-2</v>
      </c>
      <c r="D11" t="str">
        <f t="shared" si="0"/>
        <v>loss</v>
      </c>
      <c r="E11">
        <v>5.7599999999999998E-2</v>
      </c>
      <c r="F11" t="str">
        <f t="shared" si="1"/>
        <v>loss</v>
      </c>
      <c r="G11">
        <v>0.06</v>
      </c>
      <c r="H11" t="str">
        <f t="shared" si="2"/>
        <v>win</v>
      </c>
      <c r="I11">
        <v>6.1400000000000003E-2</v>
      </c>
      <c r="J11" t="str">
        <f t="shared" si="3"/>
        <v>win</v>
      </c>
      <c r="K11">
        <v>6.2899999999999998E-2</v>
      </c>
      <c r="L11" t="str">
        <f t="shared" si="4"/>
        <v>win</v>
      </c>
      <c r="M11">
        <v>0</v>
      </c>
    </row>
    <row r="12" spans="1:13" x14ac:dyDescent="0.2">
      <c r="A12" s="44">
        <v>721</v>
      </c>
      <c r="B12" s="45">
        <v>3.5900000000000001E-2</v>
      </c>
      <c r="C12">
        <v>5.2499999999999998E-2</v>
      </c>
      <c r="D12" t="str">
        <f t="shared" si="0"/>
        <v>win</v>
      </c>
      <c r="E12">
        <v>5.2999999999999999E-2</v>
      </c>
      <c r="F12" t="str">
        <f t="shared" si="1"/>
        <v>win</v>
      </c>
      <c r="G12">
        <v>5.16E-2</v>
      </c>
      <c r="H12" t="str">
        <f t="shared" si="2"/>
        <v>win</v>
      </c>
      <c r="I12">
        <v>4.19E-2</v>
      </c>
      <c r="J12" t="str">
        <f t="shared" si="3"/>
        <v>win</v>
      </c>
      <c r="K12">
        <v>3.1199999999999999E-2</v>
      </c>
      <c r="L12" t="str">
        <f t="shared" si="4"/>
        <v>loss</v>
      </c>
      <c r="M12">
        <v>0</v>
      </c>
    </row>
    <row r="13" spans="1:13" x14ac:dyDescent="0.2">
      <c r="A13" s="44">
        <v>724</v>
      </c>
      <c r="B13" s="45">
        <v>0.19270000000000001</v>
      </c>
      <c r="C13">
        <v>0.15390000000000001</v>
      </c>
      <c r="D13" t="str">
        <f t="shared" si="0"/>
        <v>loss</v>
      </c>
      <c r="E13">
        <v>0.15609999999999999</v>
      </c>
      <c r="F13" t="str">
        <f t="shared" si="1"/>
        <v>loss</v>
      </c>
      <c r="G13">
        <v>0.16259999999999999</v>
      </c>
      <c r="H13" t="str">
        <f t="shared" si="2"/>
        <v>loss</v>
      </c>
      <c r="I13">
        <v>0.13669999999999999</v>
      </c>
      <c r="J13" t="str">
        <f t="shared" si="3"/>
        <v>loss</v>
      </c>
      <c r="K13">
        <v>0.11210000000000001</v>
      </c>
      <c r="L13" t="str">
        <f t="shared" si="4"/>
        <v>loss</v>
      </c>
      <c r="M13">
        <v>0</v>
      </c>
    </row>
    <row r="14" spans="1:13" x14ac:dyDescent="0.2">
      <c r="A14" s="44">
        <v>725</v>
      </c>
      <c r="B14" s="45">
        <v>0.1037</v>
      </c>
      <c r="C14">
        <v>0.10349999999999999</v>
      </c>
      <c r="D14" t="str">
        <f t="shared" si="0"/>
        <v>loss</v>
      </c>
      <c r="E14">
        <v>0.1016</v>
      </c>
      <c r="F14" t="str">
        <f t="shared" si="1"/>
        <v>loss</v>
      </c>
      <c r="G14">
        <v>0.10249999999999999</v>
      </c>
      <c r="H14" t="str">
        <f t="shared" si="2"/>
        <v>loss</v>
      </c>
      <c r="I14">
        <v>9.8199999999999996E-2</v>
      </c>
      <c r="J14" t="str">
        <f t="shared" si="3"/>
        <v>loss</v>
      </c>
      <c r="K14">
        <v>8.9499999999999996E-2</v>
      </c>
      <c r="L14" t="str">
        <f t="shared" si="4"/>
        <v>loss</v>
      </c>
      <c r="M14">
        <v>0</v>
      </c>
    </row>
    <row r="15" spans="1:13" x14ac:dyDescent="0.2">
      <c r="A15" s="44">
        <v>729</v>
      </c>
      <c r="B15" s="45">
        <v>2.8E-3</v>
      </c>
      <c r="C15">
        <v>0</v>
      </c>
      <c r="D15" t="str">
        <f t="shared" si="0"/>
        <v>loss</v>
      </c>
      <c r="E15">
        <v>1.6999999999999999E-3</v>
      </c>
      <c r="F15" t="str">
        <f t="shared" si="1"/>
        <v>loss</v>
      </c>
      <c r="G15">
        <v>2.2000000000000001E-3</v>
      </c>
      <c r="H15" t="str">
        <f t="shared" si="2"/>
        <v>loss</v>
      </c>
      <c r="I15">
        <v>3.0000000000000001E-3</v>
      </c>
      <c r="J15" t="str">
        <f t="shared" si="3"/>
        <v>win</v>
      </c>
      <c r="K15">
        <v>4.1999999999999997E-3</v>
      </c>
      <c r="L15" t="str">
        <f t="shared" si="4"/>
        <v>win</v>
      </c>
      <c r="M15">
        <v>0</v>
      </c>
    </row>
    <row r="16" spans="1:13" x14ac:dyDescent="0.2">
      <c r="A16" s="44">
        <v>735</v>
      </c>
      <c r="B16" s="45">
        <v>6.3E-2</v>
      </c>
      <c r="C16">
        <v>6.5799999999999997E-2</v>
      </c>
      <c r="D16" t="str">
        <f t="shared" si="0"/>
        <v>win</v>
      </c>
      <c r="E16">
        <v>7.0999999999999994E-2</v>
      </c>
      <c r="F16" t="str">
        <f t="shared" si="1"/>
        <v>win</v>
      </c>
      <c r="G16">
        <v>7.5200000000000003E-2</v>
      </c>
      <c r="H16" t="str">
        <f t="shared" si="2"/>
        <v>win</v>
      </c>
      <c r="I16">
        <v>7.7200000000000005E-2</v>
      </c>
      <c r="J16" t="str">
        <f t="shared" si="3"/>
        <v>win</v>
      </c>
      <c r="K16">
        <v>9.8100000000000007E-2</v>
      </c>
      <c r="L16" t="str">
        <f t="shared" si="4"/>
        <v>win</v>
      </c>
      <c r="M16">
        <v>0</v>
      </c>
    </row>
    <row r="17" spans="1:13" x14ac:dyDescent="0.2">
      <c r="A17" s="44">
        <v>736</v>
      </c>
      <c r="B17" s="45">
        <v>0.12130000000000001</v>
      </c>
      <c r="C17">
        <v>0.17230000000000001</v>
      </c>
      <c r="D17" t="str">
        <f t="shared" si="0"/>
        <v>win</v>
      </c>
      <c r="E17">
        <v>0.1719</v>
      </c>
      <c r="F17" t="str">
        <f t="shared" si="1"/>
        <v>win</v>
      </c>
      <c r="G17">
        <v>0.17480000000000001</v>
      </c>
      <c r="H17" t="str">
        <f t="shared" si="2"/>
        <v>win</v>
      </c>
      <c r="I17">
        <v>0.18210000000000001</v>
      </c>
      <c r="J17" t="str">
        <f t="shared" si="3"/>
        <v>win</v>
      </c>
      <c r="K17">
        <v>0.1812</v>
      </c>
      <c r="L17" t="str">
        <f t="shared" si="4"/>
        <v>win</v>
      </c>
      <c r="M17">
        <v>0</v>
      </c>
    </row>
    <row r="18" spans="1:13" x14ac:dyDescent="0.2">
      <c r="A18" s="44">
        <v>738</v>
      </c>
      <c r="B18" s="45">
        <v>0.25819999999999999</v>
      </c>
      <c r="C18">
        <v>0.23549999999999999</v>
      </c>
      <c r="D18" t="str">
        <f t="shared" si="0"/>
        <v>loss</v>
      </c>
      <c r="E18">
        <v>0.23960000000000001</v>
      </c>
      <c r="F18" t="str">
        <f t="shared" si="1"/>
        <v>loss</v>
      </c>
      <c r="G18">
        <v>0.24</v>
      </c>
      <c r="H18" t="str">
        <f t="shared" si="2"/>
        <v>loss</v>
      </c>
      <c r="I18">
        <v>0.2437</v>
      </c>
      <c r="J18" t="str">
        <f t="shared" si="3"/>
        <v>loss</v>
      </c>
      <c r="K18">
        <v>0.2465</v>
      </c>
      <c r="L18" t="str">
        <f t="shared" si="4"/>
        <v>loss</v>
      </c>
      <c r="M18">
        <v>0</v>
      </c>
    </row>
    <row r="19" spans="1:13" x14ac:dyDescent="0.2">
      <c r="A19" s="9">
        <v>741</v>
      </c>
      <c r="B19" s="43">
        <v>1.17E-2</v>
      </c>
      <c r="C19">
        <v>1E-3</v>
      </c>
      <c r="D19" t="str">
        <f t="shared" si="0"/>
        <v>loss</v>
      </c>
      <c r="E19">
        <v>1.1000000000000001E-3</v>
      </c>
      <c r="F19" t="str">
        <f t="shared" si="1"/>
        <v>loss</v>
      </c>
      <c r="G19">
        <v>1.6999999999999999E-3</v>
      </c>
      <c r="H19" t="str">
        <f t="shared" si="2"/>
        <v>loss</v>
      </c>
      <c r="I19">
        <v>2.3999999999999998E-3</v>
      </c>
      <c r="J19" t="str">
        <f t="shared" si="3"/>
        <v>loss</v>
      </c>
      <c r="K19">
        <v>2.5999999999999999E-3</v>
      </c>
      <c r="L19" t="str">
        <f t="shared" si="4"/>
        <v>loss</v>
      </c>
      <c r="M19">
        <v>0</v>
      </c>
    </row>
    <row r="20" spans="1:13" x14ac:dyDescent="0.2">
      <c r="A20" s="44">
        <v>752</v>
      </c>
      <c r="B20" s="45">
        <v>0.1832</v>
      </c>
      <c r="C20">
        <v>0.19209999999999999</v>
      </c>
      <c r="D20" t="str">
        <f t="shared" si="0"/>
        <v>win</v>
      </c>
      <c r="E20">
        <v>0.18609999999999999</v>
      </c>
      <c r="F20" t="str">
        <f t="shared" si="1"/>
        <v>win</v>
      </c>
      <c r="G20">
        <v>0.18479999999999999</v>
      </c>
      <c r="H20" t="str">
        <f t="shared" si="2"/>
        <v>win</v>
      </c>
      <c r="I20">
        <v>0.18240000000000001</v>
      </c>
      <c r="J20" t="str">
        <f t="shared" si="3"/>
        <v>loss</v>
      </c>
      <c r="K20">
        <v>0.16950000000000001</v>
      </c>
      <c r="L20" t="str">
        <f t="shared" si="4"/>
        <v>loss</v>
      </c>
      <c r="M20">
        <v>0</v>
      </c>
    </row>
    <row r="21" spans="1:13" x14ac:dyDescent="0.2">
      <c r="A21" s="44">
        <v>755</v>
      </c>
      <c r="B21" s="45">
        <v>0.2969</v>
      </c>
      <c r="C21">
        <v>0.3155</v>
      </c>
      <c r="D21" t="str">
        <f t="shared" si="0"/>
        <v>win</v>
      </c>
      <c r="E21">
        <v>0.31630000000000003</v>
      </c>
      <c r="F21" t="str">
        <f t="shared" si="1"/>
        <v>win</v>
      </c>
      <c r="G21">
        <v>0.3155</v>
      </c>
      <c r="H21" t="str">
        <f t="shared" si="2"/>
        <v>win</v>
      </c>
      <c r="I21">
        <v>0.30609999999999998</v>
      </c>
      <c r="J21" t="str">
        <f t="shared" si="3"/>
        <v>win</v>
      </c>
      <c r="K21">
        <v>0.30109999999999998</v>
      </c>
      <c r="L21" t="str">
        <f t="shared" si="4"/>
        <v>win</v>
      </c>
      <c r="M21">
        <v>0</v>
      </c>
    </row>
    <row r="22" spans="1:13" x14ac:dyDescent="0.2">
      <c r="A22" s="44">
        <v>766</v>
      </c>
      <c r="B22" s="45">
        <v>0.2369</v>
      </c>
      <c r="C22">
        <v>0.35310000000000002</v>
      </c>
      <c r="D22" t="str">
        <f t="shared" si="0"/>
        <v>win</v>
      </c>
      <c r="E22">
        <v>0.35249999999999998</v>
      </c>
      <c r="F22" t="str">
        <f t="shared" si="1"/>
        <v>win</v>
      </c>
      <c r="G22">
        <v>0.35170000000000001</v>
      </c>
      <c r="H22" t="str">
        <f t="shared" si="2"/>
        <v>win</v>
      </c>
      <c r="I22">
        <v>0.34250000000000003</v>
      </c>
      <c r="J22" t="str">
        <f t="shared" si="3"/>
        <v>win</v>
      </c>
      <c r="K22">
        <v>0.31590000000000001</v>
      </c>
      <c r="L22" t="str">
        <f t="shared" si="4"/>
        <v>win</v>
      </c>
      <c r="M22">
        <v>0</v>
      </c>
    </row>
    <row r="23" spans="1:13" x14ac:dyDescent="0.2">
      <c r="A23" s="44">
        <v>781</v>
      </c>
      <c r="B23" s="45">
        <v>8.6400000000000005E-2</v>
      </c>
      <c r="C23">
        <v>0.1043</v>
      </c>
      <c r="D23" t="str">
        <f t="shared" si="0"/>
        <v>win</v>
      </c>
      <c r="E23">
        <v>9.8900000000000002E-2</v>
      </c>
      <c r="F23" t="str">
        <f t="shared" si="1"/>
        <v>win</v>
      </c>
      <c r="G23">
        <v>9.4200000000000006E-2</v>
      </c>
      <c r="H23" t="str">
        <f t="shared" si="2"/>
        <v>win</v>
      </c>
      <c r="I23">
        <v>9.2399999999999996E-2</v>
      </c>
      <c r="J23" t="str">
        <f t="shared" si="3"/>
        <v>win</v>
      </c>
      <c r="K23">
        <v>9.0300000000000005E-2</v>
      </c>
      <c r="L23" t="str">
        <f t="shared" si="4"/>
        <v>win</v>
      </c>
      <c r="M23">
        <v>0</v>
      </c>
    </row>
    <row r="24" spans="1:13" x14ac:dyDescent="0.2">
      <c r="A24" s="44">
        <v>782</v>
      </c>
      <c r="B24" s="45">
        <v>0.36530000000000001</v>
      </c>
      <c r="C24">
        <v>0.42120000000000002</v>
      </c>
      <c r="D24" t="str">
        <f t="shared" si="0"/>
        <v>win</v>
      </c>
      <c r="E24">
        <v>0.4113</v>
      </c>
      <c r="F24" t="str">
        <f t="shared" si="1"/>
        <v>win</v>
      </c>
      <c r="G24">
        <v>0.40600000000000003</v>
      </c>
      <c r="H24" t="str">
        <f t="shared" si="2"/>
        <v>win</v>
      </c>
      <c r="I24">
        <v>0.40039999999999998</v>
      </c>
      <c r="J24" t="str">
        <f t="shared" si="3"/>
        <v>win</v>
      </c>
      <c r="K24">
        <v>0.39379999999999998</v>
      </c>
      <c r="L24" t="str">
        <f t="shared" si="4"/>
        <v>win</v>
      </c>
      <c r="M24">
        <v>0</v>
      </c>
    </row>
    <row r="25" spans="1:13" x14ac:dyDescent="0.2">
      <c r="A25" s="44">
        <v>784</v>
      </c>
      <c r="B25" s="45">
        <v>0.16250000000000001</v>
      </c>
      <c r="C25">
        <v>0.14580000000000001</v>
      </c>
      <c r="D25" t="str">
        <f t="shared" si="0"/>
        <v>loss</v>
      </c>
      <c r="E25">
        <v>0.18329999999999999</v>
      </c>
      <c r="F25" t="str">
        <f t="shared" si="1"/>
        <v>win</v>
      </c>
      <c r="G25">
        <v>0.20830000000000001</v>
      </c>
      <c r="H25" t="str">
        <f t="shared" si="2"/>
        <v>win</v>
      </c>
      <c r="I25">
        <v>0.20830000000000001</v>
      </c>
      <c r="J25" t="str">
        <f t="shared" si="3"/>
        <v>win</v>
      </c>
      <c r="K25">
        <v>0.20830000000000001</v>
      </c>
      <c r="L25" t="str">
        <f t="shared" si="4"/>
        <v>win</v>
      </c>
      <c r="M25">
        <v>0</v>
      </c>
    </row>
    <row r="26" spans="1:13" x14ac:dyDescent="0.2">
      <c r="D26">
        <v>10</v>
      </c>
      <c r="F26">
        <v>12</v>
      </c>
      <c r="H26">
        <v>12</v>
      </c>
      <c r="J26">
        <v>13</v>
      </c>
      <c r="L26">
        <v>11</v>
      </c>
    </row>
    <row r="27" spans="1:13" x14ac:dyDescent="0.2">
      <c r="D27">
        <v>10</v>
      </c>
      <c r="F27">
        <v>8</v>
      </c>
      <c r="H27">
        <v>8</v>
      </c>
      <c r="J27">
        <v>7</v>
      </c>
      <c r="L27">
        <v>9</v>
      </c>
    </row>
    <row r="29" spans="1:13" x14ac:dyDescent="0.2">
      <c r="K29" t="s">
        <v>14</v>
      </c>
    </row>
    <row r="30" spans="1:13" x14ac:dyDescent="0.2">
      <c r="K30" t="s">
        <v>15</v>
      </c>
    </row>
  </sheetData>
  <autoFilter ref="A5:M27" xr:uid="{AC0D930D-BCE1-B342-AFC3-BF7051AE48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Exp1</vt:lpstr>
      <vt:lpstr>Exp2</vt:lpstr>
      <vt:lpstr>Exp3</vt:lpstr>
      <vt:lpstr>Exp4</vt:lpstr>
      <vt:lpstr>Exp5</vt:lpstr>
      <vt:lpstr>Sheet2</vt:lpstr>
      <vt:lpstr>fbTerms10</vt:lpstr>
      <vt:lpstr>fbTerms20</vt:lpstr>
      <vt:lpstr>fbTerms30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2019-03-17T04:45:53Z</dcterms:created>
  <dcterms:modified xsi:type="dcterms:W3CDTF">2019-03-20T04:29:55Z</dcterms:modified>
</cp:coreProperties>
</file>